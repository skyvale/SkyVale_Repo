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shmerry/Desktop/SkyVale_Repo/Statistics/"/>
    </mc:Choice>
  </mc:AlternateContent>
  <xr:revisionPtr revIDLastSave="0" documentId="13_ncr:1_{D85ED54D-EBDF-974C-ACF8-D3A5D690AD71}" xr6:coauthVersionLast="45" xr6:coauthVersionMax="45" xr10:uidLastSave="{00000000-0000-0000-0000-000000000000}"/>
  <bookViews>
    <workbookView xWindow="0" yWindow="460" windowWidth="24100" windowHeight="19060" xr2:uid="{3AFDB78A-A2A3-4F6B-A971-0F514BB2A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0" i="1" l="1"/>
  <c r="B58" i="1" l="1"/>
  <c r="B57" i="1"/>
  <c r="C49" i="1"/>
  <c r="B42" i="1"/>
  <c r="B43" i="1" s="1"/>
  <c r="F41" i="1"/>
  <c r="B36" i="1"/>
  <c r="B30" i="1"/>
  <c r="B29" i="1"/>
  <c r="B28" i="1"/>
  <c r="B16" i="1"/>
  <c r="E15" i="1"/>
  <c r="B9" i="1"/>
  <c r="B8" i="1"/>
  <c r="D49" i="1" l="1"/>
  <c r="B44" i="1"/>
  <c r="B52" i="1" l="1"/>
  <c r="B51" i="1"/>
</calcChain>
</file>

<file path=xl/sharedStrings.xml><?xml version="1.0" encoding="utf-8"?>
<sst xmlns="http://schemas.openxmlformats.org/spreadsheetml/2006/main" count="86" uniqueCount="49">
  <si>
    <t>Binomial Distribution</t>
  </si>
  <si>
    <t>n</t>
  </si>
  <si>
    <t>x</t>
  </si>
  <si>
    <t>p</t>
  </si>
  <si>
    <t>q</t>
  </si>
  <si>
    <t>P(x)</t>
  </si>
  <si>
    <t>1-P(x)</t>
  </si>
  <si>
    <t>STATISTICAL FORMULAS</t>
  </si>
  <si>
    <t>Estimating Probability Sampling Distribution M</t>
  </si>
  <si>
    <t>sample size</t>
  </si>
  <si>
    <t>mean P</t>
  </si>
  <si>
    <t>mean smp</t>
  </si>
  <si>
    <t>StDev P</t>
  </si>
  <si>
    <t>St Dev smp</t>
  </si>
  <si>
    <t>M</t>
  </si>
  <si>
    <t>m</t>
  </si>
  <si>
    <t>S</t>
  </si>
  <si>
    <t>s</t>
  </si>
  <si>
    <t>PROB of m</t>
  </si>
  <si>
    <t>Confidence</t>
  </si>
  <si>
    <t>Z-Score</t>
  </si>
  <si>
    <t>Margin of Error and Estimate Interval/Sigma Known</t>
  </si>
  <si>
    <t>sigma</t>
  </si>
  <si>
    <t>z</t>
  </si>
  <si>
    <t>E</t>
  </si>
  <si>
    <t>Minimum Sample Size When Sigma is Known</t>
  </si>
  <si>
    <t>Margin of Error and Estimate Interval/Sigma Unknown</t>
  </si>
  <si>
    <t>c</t>
  </si>
  <si>
    <t>t</t>
  </si>
  <si>
    <t>df</t>
  </si>
  <si>
    <t>Lower L</t>
  </si>
  <si>
    <t>Upper L</t>
  </si>
  <si>
    <t>Margin of Error and Estimate Interval for Proportion Sampling</t>
  </si>
  <si>
    <t>Minimum Sample Size for Proportion Sampling</t>
  </si>
  <si>
    <t>III</t>
  </si>
  <si>
    <t>II</t>
  </si>
  <si>
    <t>I</t>
  </si>
  <si>
    <t>IV</t>
  </si>
  <si>
    <t>V</t>
  </si>
  <si>
    <t>mean</t>
  </si>
  <si>
    <t>confidence</t>
  </si>
  <si>
    <t>degrees of freedom</t>
  </si>
  <si>
    <t>success percentage</t>
  </si>
  <si>
    <t>failure percentage</t>
  </si>
  <si>
    <t>margin of error</t>
  </si>
  <si>
    <t>KEY</t>
  </si>
  <si>
    <r>
      <t xml:space="preserve">t-value </t>
    </r>
    <r>
      <rPr>
        <sz val="10"/>
        <color theme="1"/>
        <rFont val="Calibri (Body)"/>
      </rPr>
      <t>(intersection of c + df on the t-chart)</t>
    </r>
  </si>
  <si>
    <t>z-score of confidence % (look at chart)</t>
  </si>
  <si>
    <r>
      <t xml:space="preserve">standard deviation </t>
    </r>
    <r>
      <rPr>
        <sz val="10"/>
        <color theme="1"/>
        <rFont val="Calibri (Body)"/>
      </rPr>
      <t>(NOT sample stdev)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</si>
</sst>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6" borderId="0" xfId="5" applyBorder="1" applyAlignment="1">
      <alignment horizontal="left"/>
    </xf>
    <xf numFmtId="0" fontId="1" fillId="6" borderId="0" xfId="5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0" applyFont="1" applyBorder="1"/>
    <xf numFmtId="0" fontId="0" fillId="0" borderId="1" xfId="0" applyBorder="1"/>
    <xf numFmtId="0" fontId="2" fillId="3" borderId="1" xfId="2" applyBorder="1" applyAlignment="1">
      <alignment horizontal="center"/>
    </xf>
    <xf numFmtId="0" fontId="1" fillId="4" borderId="1" xfId="3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1" fillId="6" borderId="0" xfId="5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3" applyFont="1" applyBorder="1" applyAlignment="1">
      <alignment horizontal="center"/>
    </xf>
    <xf numFmtId="0" fontId="2" fillId="5" borderId="0" xfId="4" applyAlignment="1">
      <alignment horizontal="center"/>
    </xf>
    <xf numFmtId="0" fontId="0" fillId="0" borderId="0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7" borderId="0" xfId="5" applyFill="1"/>
    <xf numFmtId="0" fontId="0" fillId="7" borderId="0" xfId="0" applyFill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5" fillId="8" borderId="3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</cellXfs>
  <cellStyles count="6">
    <cellStyle name="40% - Accent3" xfId="1" builtinId="39"/>
    <cellStyle name="40% - Accent5" xfId="3" builtinId="47"/>
    <cellStyle name="40% - Accent6" xfId="5" builtinId="51"/>
    <cellStyle name="Accent5" xfId="2" builtinId="45"/>
    <cellStyle name="Accent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20F6-FD0A-4282-BA0B-51E223412FFB}">
  <dimension ref="A1:L58"/>
  <sheetViews>
    <sheetView tabSelected="1" topLeftCell="A33" zoomScale="178" zoomScaleNormal="178" workbookViewId="0">
      <selection activeCell="G11" sqref="G11"/>
    </sheetView>
  </sheetViews>
  <sheetFormatPr baseColWidth="10" defaultColWidth="8.83203125" defaultRowHeight="15"/>
  <cols>
    <col min="2" max="2" width="9.6640625" bestFit="1" customWidth="1"/>
  </cols>
  <sheetData>
    <row r="1" spans="1:5">
      <c r="A1" s="17" t="s">
        <v>7</v>
      </c>
      <c r="B1" s="17"/>
      <c r="C1" s="17"/>
    </row>
    <row r="3" spans="1:5">
      <c r="A3" s="13" t="s">
        <v>0</v>
      </c>
      <c r="B3" s="13"/>
    </row>
    <row r="4" spans="1:5">
      <c r="A4" s="4" t="s">
        <v>1</v>
      </c>
      <c r="B4" s="7"/>
    </row>
    <row r="5" spans="1:5">
      <c r="A5" s="4" t="s">
        <v>2</v>
      </c>
      <c r="B5" s="7"/>
    </row>
    <row r="6" spans="1:5">
      <c r="A6" s="4" t="s">
        <v>3</v>
      </c>
      <c r="B6" s="7"/>
    </row>
    <row r="7" spans="1:5">
      <c r="A7" s="4" t="s">
        <v>4</v>
      </c>
      <c r="B7" s="7"/>
    </row>
    <row r="8" spans="1:5">
      <c r="A8" s="4" t="s">
        <v>5</v>
      </c>
      <c r="B8" s="7" t="e">
        <f>COMBIN(B4,B5)*B6^B5*B7^(B4-B5)</f>
        <v>#NUM!</v>
      </c>
    </row>
    <row r="9" spans="1:5">
      <c r="A9" s="4" t="s">
        <v>6</v>
      </c>
      <c r="B9" s="7" t="e">
        <f>1-A9</f>
        <v>#VALUE!</v>
      </c>
    </row>
    <row r="11" spans="1:5">
      <c r="A11" s="18"/>
    </row>
    <row r="12" spans="1:5">
      <c r="A12" s="2" t="s">
        <v>8</v>
      </c>
      <c r="B12" s="13"/>
      <c r="C12" s="13"/>
      <c r="D12" s="13"/>
      <c r="E12" s="13"/>
    </row>
    <row r="13" spans="1:5">
      <c r="A13" s="14" t="s">
        <v>9</v>
      </c>
      <c r="B13" s="4" t="s">
        <v>10</v>
      </c>
      <c r="C13" s="15" t="s">
        <v>11</v>
      </c>
      <c r="D13" s="4" t="s">
        <v>12</v>
      </c>
      <c r="E13" s="16" t="s">
        <v>13</v>
      </c>
    </row>
    <row r="14" spans="1:5">
      <c r="A14" s="4" t="s">
        <v>1</v>
      </c>
      <c r="B14" s="5" t="s">
        <v>14</v>
      </c>
      <c r="C14" s="4" t="s">
        <v>15</v>
      </c>
      <c r="D14" s="5" t="s">
        <v>16</v>
      </c>
      <c r="E14" s="4" t="s">
        <v>17</v>
      </c>
    </row>
    <row r="15" spans="1:5">
      <c r="E15" s="7" t="e">
        <f>D15/SQRT(A15)</f>
        <v>#DIV/0!</v>
      </c>
    </row>
    <row r="16" spans="1:5">
      <c r="A16" s="6" t="s">
        <v>18</v>
      </c>
      <c r="B16" s="7" t="e">
        <f>(C15-B15)/E15</f>
        <v>#DIV/0!</v>
      </c>
    </row>
    <row r="19" spans="1:12">
      <c r="A19" s="12" t="s">
        <v>19</v>
      </c>
      <c r="B19" s="8" t="s">
        <v>20</v>
      </c>
    </row>
    <row r="20" spans="1:12">
      <c r="A20" s="11">
        <v>0.9</v>
      </c>
      <c r="B20" s="9">
        <v>1.645</v>
      </c>
    </row>
    <row r="21" spans="1:12">
      <c r="A21" s="11">
        <v>0.95</v>
      </c>
      <c r="B21" s="9">
        <v>1.96</v>
      </c>
    </row>
    <row r="22" spans="1:12">
      <c r="A22" s="11">
        <v>0.99</v>
      </c>
      <c r="B22" s="9">
        <v>2.5750000000000002</v>
      </c>
    </row>
    <row r="24" spans="1:12">
      <c r="A24" s="22" t="s">
        <v>36</v>
      </c>
    </row>
    <row r="25" spans="1:12">
      <c r="A25" s="3" t="s">
        <v>21</v>
      </c>
      <c r="B25" s="3"/>
      <c r="C25" s="3"/>
      <c r="D25" s="3"/>
      <c r="E25" s="3"/>
    </row>
    <row r="26" spans="1:12">
      <c r="A26" s="4" t="s">
        <v>1</v>
      </c>
      <c r="B26" s="4" t="s">
        <v>22</v>
      </c>
      <c r="C26" s="9" t="s">
        <v>23</v>
      </c>
      <c r="D26" s="4" t="s">
        <v>15</v>
      </c>
    </row>
    <row r="27" spans="1:12">
      <c r="A27" s="4"/>
      <c r="B27" s="4"/>
      <c r="C27" s="9"/>
      <c r="D27" s="4"/>
      <c r="H27" s="37" t="s">
        <v>45</v>
      </c>
      <c r="I27" s="38"/>
      <c r="J27" s="38"/>
      <c r="K27" s="38"/>
      <c r="L27" s="39"/>
    </row>
    <row r="28" spans="1:12">
      <c r="A28" s="4" t="s">
        <v>24</v>
      </c>
      <c r="B28" s="4" t="e">
        <f>C27*B27/SQRT(A27)</f>
        <v>#DIV/0!</v>
      </c>
      <c r="C28" s="1"/>
      <c r="D28" s="1"/>
      <c r="H28" s="31" t="s">
        <v>1</v>
      </c>
      <c r="I28" s="33" t="s">
        <v>9</v>
      </c>
      <c r="J28" s="34"/>
      <c r="K28" s="27"/>
      <c r="L28" s="28"/>
    </row>
    <row r="29" spans="1:12">
      <c r="A29" s="4" t="s">
        <v>30</v>
      </c>
      <c r="B29" s="4" t="e">
        <f>D27-B28</f>
        <v>#DIV/0!</v>
      </c>
      <c r="C29" s="1"/>
      <c r="D29" s="1"/>
      <c r="H29" s="31" t="s">
        <v>15</v>
      </c>
      <c r="I29" s="33" t="s">
        <v>39</v>
      </c>
      <c r="J29" s="34"/>
      <c r="K29" s="27"/>
      <c r="L29" s="28"/>
    </row>
    <row r="30" spans="1:12">
      <c r="A30" s="4" t="s">
        <v>31</v>
      </c>
      <c r="B30" s="4" t="e">
        <f>D27+B28</f>
        <v>#DIV/0!</v>
      </c>
      <c r="C30" s="1"/>
      <c r="D30" s="1"/>
      <c r="H30" s="31" t="s">
        <v>22</v>
      </c>
      <c r="I30" s="33" t="s">
        <v>48</v>
      </c>
      <c r="J30" s="34"/>
      <c r="K30" s="27"/>
      <c r="L30" s="28"/>
    </row>
    <row r="31" spans="1:12">
      <c r="H31" s="31" t="s">
        <v>27</v>
      </c>
      <c r="I31" s="33" t="s">
        <v>40</v>
      </c>
      <c r="J31" s="34"/>
      <c r="K31" s="27"/>
      <c r="L31" s="28"/>
    </row>
    <row r="32" spans="1:12">
      <c r="A32" s="21" t="s">
        <v>35</v>
      </c>
      <c r="H32" s="31" t="s">
        <v>28</v>
      </c>
      <c r="I32" s="33" t="s">
        <v>46</v>
      </c>
      <c r="J32" s="34"/>
      <c r="K32" s="27"/>
      <c r="L32" s="28"/>
    </row>
    <row r="33" spans="1:12">
      <c r="A33" s="3" t="s">
        <v>25</v>
      </c>
      <c r="B33" s="3"/>
      <c r="C33" s="3"/>
      <c r="D33" s="3"/>
      <c r="E33" s="3"/>
      <c r="H33" s="31" t="s">
        <v>29</v>
      </c>
      <c r="I33" s="33" t="s">
        <v>41</v>
      </c>
      <c r="J33" s="34"/>
      <c r="K33" s="27"/>
      <c r="L33" s="28"/>
    </row>
    <row r="34" spans="1:12">
      <c r="A34" s="4" t="s">
        <v>24</v>
      </c>
      <c r="B34" s="4" t="s">
        <v>22</v>
      </c>
      <c r="C34" s="9" t="s">
        <v>23</v>
      </c>
      <c r="H34" s="31" t="s">
        <v>24</v>
      </c>
      <c r="I34" s="33" t="s">
        <v>44</v>
      </c>
      <c r="J34" s="34"/>
      <c r="K34" s="27"/>
      <c r="L34" s="28"/>
    </row>
    <row r="35" spans="1:12">
      <c r="A35" s="4">
        <v>0.1</v>
      </c>
      <c r="B35" s="4">
        <v>3.2</v>
      </c>
      <c r="C35" s="9">
        <v>1.645</v>
      </c>
      <c r="H35" s="31" t="s">
        <v>3</v>
      </c>
      <c r="I35" s="33" t="s">
        <v>42</v>
      </c>
      <c r="J35" s="34"/>
      <c r="K35" s="27"/>
      <c r="L35" s="28"/>
    </row>
    <row r="36" spans="1:12">
      <c r="A36" s="4" t="s">
        <v>1</v>
      </c>
      <c r="B36" s="26">
        <f>(C35*B35/A35)^2</f>
        <v>2770.9695999999999</v>
      </c>
      <c r="C36" s="1"/>
      <c r="H36" s="31" t="s">
        <v>4</v>
      </c>
      <c r="I36" s="33" t="s">
        <v>43</v>
      </c>
      <c r="J36" s="34"/>
      <c r="K36" s="27"/>
      <c r="L36" s="28"/>
    </row>
    <row r="37" spans="1:12">
      <c r="H37" s="32" t="s">
        <v>23</v>
      </c>
      <c r="I37" s="35" t="s">
        <v>47</v>
      </c>
      <c r="J37" s="36"/>
      <c r="K37" s="29"/>
      <c r="L37" s="30"/>
    </row>
    <row r="38" spans="1:12">
      <c r="A38" s="21" t="s">
        <v>34</v>
      </c>
    </row>
    <row r="39" spans="1:12">
      <c r="A39" s="3" t="s">
        <v>26</v>
      </c>
      <c r="B39" s="3"/>
      <c r="C39" s="3"/>
      <c r="D39" s="3"/>
      <c r="E39" s="3"/>
      <c r="F39" s="3"/>
    </row>
    <row r="40" spans="1:12">
      <c r="A40" s="4" t="s">
        <v>1</v>
      </c>
      <c r="B40" s="4" t="s">
        <v>15</v>
      </c>
      <c r="C40" s="4" t="s">
        <v>22</v>
      </c>
      <c r="D40" s="4" t="s">
        <v>27</v>
      </c>
      <c r="E40" s="9" t="s">
        <v>28</v>
      </c>
      <c r="F40" s="4" t="s">
        <v>29</v>
      </c>
    </row>
    <row r="41" spans="1:12">
      <c r="A41" s="4">
        <v>123</v>
      </c>
      <c r="B41" s="4">
        <v>8.1999999999999993</v>
      </c>
      <c r="C41" s="4">
        <v>0.84</v>
      </c>
      <c r="D41" s="11">
        <v>0.95</v>
      </c>
      <c r="E41" s="9">
        <v>1.984</v>
      </c>
      <c r="F41" s="4">
        <f>A41-1</f>
        <v>122</v>
      </c>
    </row>
    <row r="42" spans="1:12">
      <c r="A42" s="4" t="s">
        <v>24</v>
      </c>
      <c r="B42" s="20">
        <f>E41*C41/SQRT(A41)</f>
        <v>0.15026865463513558</v>
      </c>
    </row>
    <row r="43" spans="1:12">
      <c r="A43" s="4" t="s">
        <v>30</v>
      </c>
      <c r="B43" s="20">
        <f>B41-B42</f>
        <v>8.0497313453648633</v>
      </c>
    </row>
    <row r="44" spans="1:12">
      <c r="A44" s="4" t="s">
        <v>31</v>
      </c>
      <c r="B44" s="20">
        <f>B41+B42</f>
        <v>8.3502686546351352</v>
      </c>
    </row>
    <row r="46" spans="1:12">
      <c r="A46" s="22" t="s">
        <v>37</v>
      </c>
    </row>
    <row r="47" spans="1:12">
      <c r="A47" s="3" t="s">
        <v>32</v>
      </c>
      <c r="B47" s="3"/>
      <c r="C47" s="3"/>
      <c r="D47" s="3"/>
      <c r="E47" s="3"/>
      <c r="F47" s="3"/>
    </row>
    <row r="48" spans="1:12">
      <c r="A48" s="4" t="s">
        <v>1</v>
      </c>
      <c r="B48" s="4" t="s">
        <v>2</v>
      </c>
      <c r="C48" s="4" t="s">
        <v>3</v>
      </c>
      <c r="D48" s="4" t="s">
        <v>4</v>
      </c>
      <c r="E48" s="9" t="s">
        <v>23</v>
      </c>
    </row>
    <row r="49" spans="1:5">
      <c r="A49" s="4">
        <v>1345</v>
      </c>
      <c r="B49" s="4">
        <v>345</v>
      </c>
      <c r="C49" s="19">
        <f>B49/A49</f>
        <v>0.25650557620817843</v>
      </c>
      <c r="D49" s="19">
        <f>1-C49</f>
        <v>0.74349442379182151</v>
      </c>
      <c r="E49" s="9">
        <v>1.96</v>
      </c>
    </row>
    <row r="50" spans="1:5">
      <c r="A50" s="4" t="s">
        <v>24</v>
      </c>
      <c r="B50" s="19">
        <f>E49*SQRT(C49*D49/A49)</f>
        <v>2.3338997225887365E-2</v>
      </c>
    </row>
    <row r="51" spans="1:5">
      <c r="A51" s="4" t="s">
        <v>30</v>
      </c>
      <c r="B51" s="19">
        <f>C49-B50</f>
        <v>0.23316657898229107</v>
      </c>
    </row>
    <row r="52" spans="1:5">
      <c r="A52" s="4" t="s">
        <v>31</v>
      </c>
      <c r="B52" s="19">
        <f>C49+B50</f>
        <v>0.27984457343406577</v>
      </c>
    </row>
    <row r="54" spans="1:5">
      <c r="A54" s="22" t="s">
        <v>38</v>
      </c>
    </row>
    <row r="55" spans="1:5">
      <c r="A55" s="2" t="s">
        <v>33</v>
      </c>
      <c r="B55" s="3"/>
      <c r="C55" s="3"/>
      <c r="D55" s="23"/>
      <c r="E55" s="24"/>
    </row>
    <row r="56" spans="1:5">
      <c r="A56" s="10" t="s">
        <v>3</v>
      </c>
      <c r="B56" s="4" t="s">
        <v>4</v>
      </c>
      <c r="C56" s="4" t="s">
        <v>24</v>
      </c>
      <c r="D56" s="4" t="s">
        <v>23</v>
      </c>
    </row>
    <row r="57" spans="1:5">
      <c r="A57" s="4">
        <v>0.5</v>
      </c>
      <c r="B57" s="4">
        <f>1-A57</f>
        <v>0.5</v>
      </c>
      <c r="C57" s="4">
        <v>0.05</v>
      </c>
      <c r="D57" s="9">
        <v>1.96</v>
      </c>
    </row>
    <row r="58" spans="1:5">
      <c r="A58" s="4" t="s">
        <v>1</v>
      </c>
      <c r="B58" s="25">
        <f>A57*B57*(D57/C57)^2</f>
        <v>384.15999999999991</v>
      </c>
      <c r="C58" s="1"/>
      <c r="D58" s="1"/>
    </row>
  </sheetData>
  <mergeCells count="2">
    <mergeCell ref="A1:C1"/>
    <mergeCell ref="H27:L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2019-09-20T02:40:36Z</dcterms:created>
  <dcterms:modified xsi:type="dcterms:W3CDTF">2019-09-23T15:16:46Z</dcterms:modified>
</cp:coreProperties>
</file>