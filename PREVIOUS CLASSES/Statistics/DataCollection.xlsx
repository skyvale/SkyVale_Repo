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SkyVale_Repo\Statistics\"/>
    </mc:Choice>
  </mc:AlternateContent>
  <xr:revisionPtr revIDLastSave="0" documentId="13_ncr:1_{9DC88AFC-BC59-4D78-9387-FDB828631553}" xr6:coauthVersionLast="41" xr6:coauthVersionMax="45" xr10:uidLastSave="{00000000-0000-0000-0000-000000000000}"/>
  <bookViews>
    <workbookView xWindow="-120" yWindow="-120" windowWidth="29040" windowHeight="15840" xr2:uid="{1EF09E01-2087-1546-9C39-6B7F81A953B7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E12" i="1"/>
</calcChain>
</file>

<file path=xl/sharedStrings.xml><?xml version="1.0" encoding="utf-8"?>
<sst xmlns="http://schemas.openxmlformats.org/spreadsheetml/2006/main" count="36" uniqueCount="34">
  <si>
    <t>Group Members:</t>
  </si>
  <si>
    <t>Skylar Valerio (leader)</t>
  </si>
  <si>
    <t>Britton Smith</t>
  </si>
  <si>
    <t>Chase Hoffman</t>
  </si>
  <si>
    <t>Joshua Otero</t>
  </si>
  <si>
    <t>Michael Kirkendall</t>
  </si>
  <si>
    <t>Pokemon Game Sales (by Generation)</t>
  </si>
  <si>
    <t>Generation</t>
  </si>
  <si>
    <t>Nintendo Console Sales</t>
  </si>
  <si>
    <t>Console Name</t>
  </si>
  <si>
    <t>Gameboy/Gameboy Color</t>
  </si>
  <si>
    <t>Gameboy Advance</t>
  </si>
  <si>
    <t>Nintendo DS/Dsi</t>
  </si>
  <si>
    <t>Nintendo 3DS/2DS</t>
  </si>
  <si>
    <t>Nintendo Switch</t>
  </si>
  <si>
    <t>Year</t>
  </si>
  <si>
    <t>Released</t>
  </si>
  <si>
    <t>1989/1998</t>
  </si>
  <si>
    <t>2004/2009</t>
  </si>
  <si>
    <t>2011/2013</t>
  </si>
  <si>
    <t>Mean (sold):</t>
  </si>
  <si>
    <t>StDev (sold):</t>
  </si>
  <si>
    <t>Sold (mil)</t>
  </si>
  <si>
    <t>*note*</t>
  </si>
  <si>
    <t>does not include consoles that did not have a core Pokemon game played on them (i.e Gamecube).</t>
  </si>
  <si>
    <t>This data does not include game remakes (i.e Pokemon Alpha Ruby) and it</t>
  </si>
  <si>
    <t>Game Sales vs Console Sales (based on release dates)</t>
  </si>
  <si>
    <t>Games Sold</t>
  </si>
  <si>
    <t>Consoles Sold</t>
  </si>
  <si>
    <t>&gt; 1998</t>
  </si>
  <si>
    <t>1999 - 2003</t>
  </si>
  <si>
    <t>2004 - 2010</t>
  </si>
  <si>
    <t>2011 - 2016</t>
  </si>
  <si>
    <t>&lt;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</si>
</sst>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8" xfId="0" applyFont="1" applyFill="1" applyBorder="1"/>
    <xf numFmtId="0" fontId="1" fillId="2" borderId="3" xfId="0" applyFont="1" applyFill="1" applyBorder="1"/>
    <xf numFmtId="0" fontId="1" fillId="3" borderId="2" xfId="0" applyFont="1" applyFill="1" applyBorder="1"/>
    <xf numFmtId="0" fontId="0" fillId="3" borderId="9" xfId="0" applyFill="1" applyBorder="1"/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2" xfId="0" applyFont="1" applyFill="1" applyBorder="1" applyAlignment="1"/>
    <xf numFmtId="0" fontId="0" fillId="3" borderId="9" xfId="0" applyFill="1" applyBorder="1" applyAlignment="1"/>
    <xf numFmtId="0" fontId="0" fillId="3" borderId="3" xfId="0" applyFill="1" applyBorder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/>
    <xf numFmtId="0" fontId="0" fillId="4" borderId="6" xfId="0" applyFill="1" applyBorder="1"/>
    <xf numFmtId="2" fontId="0" fillId="0" borderId="11" xfId="0" applyNumberFormat="1" applyBorder="1"/>
    <xf numFmtId="2" fontId="0" fillId="0" borderId="13" xfId="0" applyNumberFormat="1" applyBorder="1"/>
    <xf numFmtId="0" fontId="0" fillId="0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3" fillId="4" borderId="7" xfId="0" applyFont="1" applyFill="1" applyBorder="1"/>
    <xf numFmtId="0" fontId="1" fillId="3" borderId="8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4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Game Sales vs Console Sales (based on release dates)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Games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(Sheet1!$M$4,Sheet1!$M$5,Sheet1!$M$6,Sheet1!$M$7,Sheet1!$M$8)</c:f>
              <c:strCache>
                <c:ptCount val="5"/>
                <c:pt idx="0">
                  <c:v>&gt; 1998</c:v>
                </c:pt>
                <c:pt idx="1">
                  <c:v>1999 - 2003</c:v>
                </c:pt>
                <c:pt idx="2">
                  <c:v>2004 - 2010</c:v>
                </c:pt>
                <c:pt idx="3">
                  <c:v>2011 - 2016</c:v>
                </c:pt>
                <c:pt idx="4">
                  <c:v>&lt; 2017</c:v>
                </c:pt>
              </c:strCache>
            </c:strRef>
          </c:cat>
          <c:val>
            <c:numRef>
              <c:f>Sheet1!$N$4:$N$8</c:f>
              <c:numCache>
                <c:formatCode>General</c:formatCode>
                <c:ptCount val="5"/>
                <c:pt idx="0">
                  <c:v>31.28</c:v>
                </c:pt>
                <c:pt idx="1">
                  <c:v>39.32</c:v>
                </c:pt>
                <c:pt idx="2">
                  <c:v>33.31</c:v>
                </c:pt>
                <c:pt idx="3">
                  <c:v>41.01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712-B92B-9F0990A1ED5B}"/>
            </c:ext>
          </c:extLst>
        </c:ser>
        <c:ser>
          <c:idx val="1"/>
          <c:order val="1"/>
          <c:tx>
            <c:strRef>
              <c:f>Sheet1!$O$3</c:f>
              <c:strCache>
                <c:ptCount val="1"/>
                <c:pt idx="0">
                  <c:v>Consoles Sold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(Sheet1!$M$4,Sheet1!$M$5,Sheet1!$M$6,Sheet1!$M$7,Sheet1!$M$8)</c:f>
              <c:strCache>
                <c:ptCount val="5"/>
                <c:pt idx="0">
                  <c:v>&gt; 1998</c:v>
                </c:pt>
                <c:pt idx="1">
                  <c:v>1999 - 2003</c:v>
                </c:pt>
                <c:pt idx="2">
                  <c:v>2004 - 2010</c:v>
                </c:pt>
                <c:pt idx="3">
                  <c:v>2011 - 2016</c:v>
                </c:pt>
                <c:pt idx="4">
                  <c:v>&lt; 2017</c:v>
                </c:pt>
              </c:strCache>
            </c:strRef>
          </c:cat>
          <c:val>
            <c:numRef>
              <c:f>Sheet1!$O$4:$O$8</c:f>
              <c:numCache>
                <c:formatCode>General</c:formatCode>
                <c:ptCount val="5"/>
                <c:pt idx="0">
                  <c:v>118.69</c:v>
                </c:pt>
                <c:pt idx="1">
                  <c:v>81.510000000000005</c:v>
                </c:pt>
                <c:pt idx="2">
                  <c:v>154.02000000000001</c:v>
                </c:pt>
                <c:pt idx="3">
                  <c:v>75.28</c:v>
                </c:pt>
                <c:pt idx="4">
                  <c:v>36.869999999999997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C-4712-B92B-9F0990A1E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5532896"/>
        <c:axId val="425700608"/>
      </c:barChart>
      <c:catAx>
        <c:axId val="4155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00608"/>
        <c:crosses val="autoZero"/>
        <c:auto val="1"/>
        <c:lblAlgn val="ctr"/>
        <c:lblOffset val="100"/>
        <c:noMultiLvlLbl val="0"/>
      </c:catAx>
      <c:valAx>
        <c:axId val="4257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658473644216533"/>
          <c:y val="0.8797903920546517"/>
          <c:w val="0.38683052711566945"/>
          <c:h val="0.10627232571538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Games Sold by Generation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Sold (mil)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Sheet1!$D$4:$D$10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Sheet1!$E$4:$E$10</c:f>
              <c:numCache>
                <c:formatCode>General</c:formatCode>
                <c:ptCount val="7"/>
                <c:pt idx="0">
                  <c:v>31.28</c:v>
                </c:pt>
                <c:pt idx="1">
                  <c:v>23.1</c:v>
                </c:pt>
                <c:pt idx="2">
                  <c:v>16.22</c:v>
                </c:pt>
                <c:pt idx="3">
                  <c:v>17.670000000000002</c:v>
                </c:pt>
                <c:pt idx="4">
                  <c:v>15.64</c:v>
                </c:pt>
                <c:pt idx="5">
                  <c:v>16.399999999999999</c:v>
                </c:pt>
                <c:pt idx="6">
                  <c:v>24.61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D-4384-B691-9F974AAB09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341343"/>
        <c:axId val="2101029423"/>
      </c:barChart>
      <c:catAx>
        <c:axId val="1134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29423"/>
        <c:crosses val="autoZero"/>
        <c:auto val="1"/>
        <c:lblAlgn val="ctr"/>
        <c:lblOffset val="100"/>
        <c:noMultiLvlLbl val="0"/>
      </c:catAx>
      <c:valAx>
        <c:axId val="210102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4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Consoles</a:t>
            </a:r>
            <a:r>
              <a:rPr lang="en-US" baseline="0"/>
              <a:t> Sold (millions)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noFill/>
            <a:ln w="9525" cap="flat" cmpd="sng" algn="ctr">
              <a:solidFill>
                <a:schemeClr val="accent4">
                  <a:shade val="76000"/>
                </a:schemeClr>
              </a:solidFill>
              <a:miter lim="800000"/>
            </a:ln>
            <a:effectLst>
              <a:glow rad="63500">
                <a:schemeClr val="accent4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Sheet1!$H$4:$H$8</c:f>
              <c:strCache>
                <c:ptCount val="5"/>
                <c:pt idx="0">
                  <c:v>Gameboy/Gameboy Color</c:v>
                </c:pt>
                <c:pt idx="1">
                  <c:v>Gameboy Advance</c:v>
                </c:pt>
                <c:pt idx="2">
                  <c:v>Nintendo DS/Dsi</c:v>
                </c:pt>
                <c:pt idx="3">
                  <c:v>Nintendo 3DS/2DS</c:v>
                </c:pt>
                <c:pt idx="4">
                  <c:v>Nintendo Switch</c:v>
                </c:pt>
              </c:strCache>
            </c:strRef>
          </c:cat>
          <c:val>
            <c:numRef>
              <c:f>Sheet1!$J$4:$J$8</c:f>
              <c:numCache>
                <c:formatCode>General</c:formatCode>
                <c:ptCount val="5"/>
                <c:pt idx="0">
                  <c:v>118.69</c:v>
                </c:pt>
                <c:pt idx="1">
                  <c:v>81.510000000000005</c:v>
                </c:pt>
                <c:pt idx="2">
                  <c:v>154.02000000000001</c:v>
                </c:pt>
                <c:pt idx="3">
                  <c:v>75.28</c:v>
                </c:pt>
                <c:pt idx="4">
                  <c:v>36.869999999999997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A-4277-A74A-0594D30B5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0751"/>
        <c:axId val="21010435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noFill/>
                  <a:ln w="9525" cap="flat" cmpd="sng" algn="ctr">
                    <a:solidFill>
                      <a:schemeClr val="accent4">
                        <a:tint val="77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tint val="77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Sheet1!$H$4:$H$8</c15:sqref>
                        </c15:formulaRef>
                      </c:ext>
                    </c:extLst>
                    <c:strCache>
                      <c:ptCount val="5"/>
                      <c:pt idx="0">
                        <c:v>Gameboy/Gameboy Color</c:v>
                      </c:pt>
                      <c:pt idx="1">
                        <c:v>Gameboy Advance</c:v>
                      </c:pt>
                      <c:pt idx="2">
                        <c:v>Nintendo DS/Dsi</c:v>
                      </c:pt>
                      <c:pt idx="3">
                        <c:v>Nintendo 3DS/2DS</c:v>
                      </c:pt>
                      <c:pt idx="4">
                        <c:v>Nintendo Switch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Sheet1!$I$4:$I$8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AA-4277-A74A-0594D30B5613}"/>
                  </c:ext>
                </c:extLst>
              </c15:ser>
            </c15:filteredBarSeries>
          </c:ext>
        </c:extLst>
      </c:barChart>
      <c:catAx>
        <c:axId val="60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43567"/>
        <c:crosses val="autoZero"/>
        <c:auto val="1"/>
        <c:lblAlgn val="ctr"/>
        <c:lblOffset val="100"/>
        <c:noMultiLvlLbl val="0"/>
      </c:catAx>
      <c:valAx>
        <c:axId val="2101043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719137</xdr:colOff>
      <xdr:row>9</xdr:row>
      <xdr:rowOff>180975</xdr:rowOff>
    </xdr:from>
    <xdr:to>
      <xdr:col>17</xdr:col>
      <xdr:colOff>85725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BEB64-C2D0-4C48-A0DA-EC037F3E0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833437</xdr:colOff>
      <xdr:row>21</xdr:row>
      <xdr:rowOff>0</xdr:rowOff>
    </xdr:from>
    <xdr:to>
      <xdr:col>6</xdr:col>
      <xdr:colOff>185737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B8AB6-4CBD-46D9-9858-194785A63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25</xdr:row>
      <xdr:rowOff>190500</xdr:rowOff>
    </xdr:from>
    <xdr:to>
      <xdr:col>12</xdr:col>
      <xdr:colOff>381000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03AC33-00C6-4E16-9EF6-95B795751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0645-77FE-F146-9F98-D104F5BF949F}">
  <dimension ref="A2:Q17"/>
  <sheetViews>
    <sheetView tabSelected="1" topLeftCell="A4" workbookViewId="0">
      <selection activeCell="A7" sqref="A7"/>
    </sheetView>
  </sheetViews>
  <sheetFormatPr defaultColWidth="11" defaultRowHeight="15.75" x14ac:dyDescent="0.25"/>
  <cols>
    <col min="5" max="5" width="13.5" bestFit="1" customWidth="1"/>
  </cols>
  <sheetData>
    <row r="2" spans="1:17" ht="18.75" x14ac:dyDescent="0.3">
      <c r="A2" s="5" t="s">
        <v>0</v>
      </c>
      <c r="B2" s="6"/>
      <c r="D2" s="19" t="s">
        <v>6</v>
      </c>
      <c r="E2" s="20"/>
      <c r="F2" s="21"/>
      <c r="H2" s="7" t="s">
        <v>8</v>
      </c>
      <c r="I2" s="8"/>
      <c r="J2" s="8"/>
      <c r="K2" s="9"/>
      <c r="M2" s="37" t="s">
        <v>26</v>
      </c>
      <c r="N2" s="38"/>
      <c r="O2" s="38"/>
      <c r="P2" s="38"/>
      <c r="Q2" s="39"/>
    </row>
    <row r="3" spans="1:17" x14ac:dyDescent="0.25">
      <c r="A3" s="1" t="s">
        <v>1</v>
      </c>
      <c r="B3" s="2"/>
      <c r="D3" s="28" t="s">
        <v>7</v>
      </c>
      <c r="E3" s="26" t="s">
        <v>22</v>
      </c>
      <c r="F3" s="27" t="s">
        <v>16</v>
      </c>
      <c r="H3" s="40" t="s">
        <v>9</v>
      </c>
      <c r="I3" s="41"/>
      <c r="J3" s="26" t="s">
        <v>22</v>
      </c>
      <c r="K3" s="27" t="s">
        <v>16</v>
      </c>
      <c r="M3" s="34" t="s">
        <v>15</v>
      </c>
      <c r="N3" s="35" t="s">
        <v>27</v>
      </c>
      <c r="O3" s="36" t="s">
        <v>28</v>
      </c>
    </row>
    <row r="4" spans="1:17" x14ac:dyDescent="0.25">
      <c r="A4" s="1" t="s">
        <v>2</v>
      </c>
      <c r="B4" s="2"/>
      <c r="D4" s="24">
        <v>1</v>
      </c>
      <c r="E4" s="16">
        <v>31.28</v>
      </c>
      <c r="F4" s="25">
        <v>1996</v>
      </c>
      <c r="H4" s="11" t="s">
        <v>10</v>
      </c>
      <c r="I4" s="12"/>
      <c r="J4" s="17">
        <v>118.69</v>
      </c>
      <c r="K4" s="10" t="s">
        <v>17</v>
      </c>
      <c r="M4" s="22" t="s">
        <v>29</v>
      </c>
      <c r="N4" s="17">
        <v>31.28</v>
      </c>
      <c r="O4" s="10">
        <v>118.69</v>
      </c>
    </row>
    <row r="5" spans="1:17" x14ac:dyDescent="0.25">
      <c r="A5" s="1" t="s">
        <v>3</v>
      </c>
      <c r="B5" s="2"/>
      <c r="D5" s="22">
        <v>2</v>
      </c>
      <c r="E5" s="17">
        <v>23.1</v>
      </c>
      <c r="F5" s="2">
        <v>1999</v>
      </c>
      <c r="H5" s="11" t="s">
        <v>11</v>
      </c>
      <c r="I5" s="12"/>
      <c r="J5" s="17">
        <v>81.510000000000005</v>
      </c>
      <c r="K5" s="10">
        <v>2001</v>
      </c>
      <c r="M5" s="22" t="s">
        <v>30</v>
      </c>
      <c r="N5" s="17">
        <v>39.32</v>
      </c>
      <c r="O5" s="33">
        <v>81.510000000000005</v>
      </c>
    </row>
    <row r="6" spans="1:17" x14ac:dyDescent="0.25">
      <c r="A6" s="1" t="s">
        <v>4</v>
      </c>
      <c r="B6" s="2"/>
      <c r="D6" s="22">
        <v>3</v>
      </c>
      <c r="E6" s="17">
        <v>16.22</v>
      </c>
      <c r="F6" s="2">
        <v>2002</v>
      </c>
      <c r="H6" s="11" t="s">
        <v>12</v>
      </c>
      <c r="I6" s="12"/>
      <c r="J6" s="17">
        <v>154.02000000000001</v>
      </c>
      <c r="K6" s="10" t="s">
        <v>18</v>
      </c>
      <c r="M6" s="22" t="s">
        <v>31</v>
      </c>
      <c r="N6" s="17">
        <v>33.31</v>
      </c>
      <c r="O6" s="10">
        <v>154.02000000000001</v>
      </c>
    </row>
    <row r="7" spans="1:17" x14ac:dyDescent="0.25">
      <c r="A7" s="3" t="s">
        <v>5</v>
      </c>
      <c r="B7" s="4"/>
      <c r="D7" s="22">
        <v>4</v>
      </c>
      <c r="E7" s="17">
        <v>17.670000000000002</v>
      </c>
      <c r="F7" s="2">
        <v>2006</v>
      </c>
      <c r="H7" s="11" t="s">
        <v>13</v>
      </c>
      <c r="I7" s="12"/>
      <c r="J7" s="17">
        <v>75.28</v>
      </c>
      <c r="K7" s="10" t="s">
        <v>19</v>
      </c>
      <c r="M7" s="22" t="s">
        <v>32</v>
      </c>
      <c r="N7" s="17">
        <v>41.01</v>
      </c>
      <c r="O7" s="10">
        <v>75.28</v>
      </c>
    </row>
    <row r="8" spans="1:17" x14ac:dyDescent="0.25">
      <c r="D8" s="22">
        <v>5</v>
      </c>
      <c r="E8" s="17">
        <v>15.64</v>
      </c>
      <c r="F8" s="2">
        <v>2010</v>
      </c>
      <c r="H8" s="13" t="s">
        <v>14</v>
      </c>
      <c r="I8" s="14"/>
      <c r="J8" s="18">
        <v>36.869999999999997</v>
      </c>
      <c r="K8" s="15">
        <v>2017</v>
      </c>
      <c r="M8" s="23" t="s">
        <v>33</v>
      </c>
      <c r="N8" s="18">
        <v>0</v>
      </c>
      <c r="O8" s="15">
        <v>36.869999999999997</v>
      </c>
    </row>
    <row r="9" spans="1:17" x14ac:dyDescent="0.25">
      <c r="D9" s="22">
        <v>6</v>
      </c>
      <c r="E9" s="17">
        <v>16.399999999999999</v>
      </c>
      <c r="F9" s="2">
        <v>2013</v>
      </c>
    </row>
    <row r="10" spans="1:17" x14ac:dyDescent="0.25">
      <c r="D10" s="23">
        <v>7</v>
      </c>
      <c r="E10" s="18">
        <v>24.61</v>
      </c>
      <c r="F10" s="4">
        <v>2016</v>
      </c>
    </row>
    <row r="12" spans="1:17" x14ac:dyDescent="0.25">
      <c r="D12" s="29" t="s">
        <v>20</v>
      </c>
      <c r="E12" s="31">
        <f>AVERAGE(E4:E10)</f>
        <v>20.702857142857145</v>
      </c>
    </row>
    <row r="13" spans="1:17" x14ac:dyDescent="0.25">
      <c r="D13" s="30" t="s">
        <v>21</v>
      </c>
      <c r="E13" s="32">
        <f>STDEV(E4:E10)</f>
        <v>5.8641473216081232</v>
      </c>
    </row>
    <row r="15" spans="1:17" x14ac:dyDescent="0.25">
      <c r="D15" t="s">
        <v>23</v>
      </c>
    </row>
    <row r="16" spans="1:17" x14ac:dyDescent="0.25">
      <c r="D16" t="s">
        <v>25</v>
      </c>
    </row>
    <row r="17" spans="4:4" x14ac:dyDescent="0.25">
      <c r="D17" t="s">
        <v>24</v>
      </c>
    </row>
  </sheetData>
  <mergeCells count="1"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2019-09-18T14:48:15Z</dcterms:created>
  <dcterms:modified xsi:type="dcterms:W3CDTF">2019-09-24T23:06:12Z</dcterms:modified>
</cp:coreProperties>
</file>