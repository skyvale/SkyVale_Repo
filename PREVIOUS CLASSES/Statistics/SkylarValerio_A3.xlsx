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la\OneDrive\Desktop\"/>
    </mc:Choice>
  </mc:AlternateContent>
  <xr:revisionPtr revIDLastSave="0" documentId="8_{3362326E-DE62-4B24-895F-E1E1D01D85C5}" xr6:coauthVersionLast="41" xr6:coauthVersionMax="41" xr10:uidLastSave="{00000000-0000-0000-0000-000000000000}"/>
  <bookViews>
    <workbookView xWindow="28680" yWindow="-120" windowWidth="29040" windowHeight="15840" xr2:uid="{741FB7F3-83D8-4795-B22B-9802507D3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E10" i="1"/>
  <c r="E9" i="1"/>
  <c r="E8" i="1"/>
  <c r="E7" i="1"/>
  <c r="E6" i="1"/>
  <c r="E5" i="1"/>
  <c r="E4" i="1"/>
  <c r="E3" i="1"/>
  <c r="C10" i="1"/>
  <c r="C9" i="1"/>
  <c r="C8" i="1"/>
  <c r="C7" i="1"/>
  <c r="C6" i="1"/>
  <c r="C5" i="1"/>
  <c r="C4" i="1"/>
  <c r="C3" i="1"/>
  <c r="G12" i="1"/>
  <c r="G13" i="1"/>
  <c r="E13" i="1"/>
  <c r="E12" i="1"/>
  <c r="C13" i="1"/>
  <c r="C12" i="1"/>
</calcChain>
</file>

<file path=xl/sharedStrings.xml><?xml version="1.0" encoding="utf-8"?>
<sst xmlns="http://schemas.openxmlformats.org/spreadsheetml/2006/main" count="23" uniqueCount="15">
  <si>
    <t>Joshua Fluke | Youtuber</t>
  </si>
  <si>
    <t>Views</t>
  </si>
  <si>
    <t>Earnings</t>
  </si>
  <si>
    <t>mean</t>
  </si>
  <si>
    <t>stdev</t>
  </si>
  <si>
    <t>ZSCORE</t>
  </si>
  <si>
    <t>Subs</t>
  </si>
  <si>
    <t>range</t>
  </si>
  <si>
    <t>Which of the metrics you collected is more significant? Why?</t>
  </si>
  <si>
    <t>I thought it was interesting that the zscores for views were more unusual</t>
  </si>
  <si>
    <t>then the zscores for the other two metrics. For example, on September 12th</t>
  </si>
  <si>
    <t>the zscore for the view count was 6.89, yet the subscriber zcore for that same</t>
  </si>
  <si>
    <t>day was actually slightly lower than the average. So, from  that, I can inference</t>
  </si>
  <si>
    <t>that Joshua Fluke might have posted a particularly popular video on that day</t>
  </si>
  <si>
    <t>that the youtube algorithm promoted.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</si>
</sst>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6" fontId="2" fillId="0" borderId="2" xfId="0" applyNumberFormat="1" applyFont="1" applyBorder="1"/>
    <xf numFmtId="0" fontId="3" fillId="0" borderId="0" xfId="0" applyFont="1"/>
    <xf numFmtId="0" fontId="4" fillId="0" borderId="0" xfId="0" applyFont="1"/>
    <xf numFmtId="2" fontId="0" fillId="0" borderId="5" xfId="0" applyNumberFormat="1" applyBorder="1"/>
    <xf numFmtId="2" fontId="0" fillId="0" borderId="2" xfId="0" applyNumberFormat="1" applyBorder="1"/>
    <xf numFmtId="2" fontId="0" fillId="0" borderId="8" xfId="0" applyNumberFormat="1" applyBorder="1"/>
    <xf numFmtId="2" fontId="1" fillId="2" borderId="2" xfId="1" applyNumberFormat="1" applyBorder="1"/>
    <xf numFmtId="2" fontId="1" fillId="2" borderId="8" xfId="1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8CAE-4B0D-477F-874D-497AB548AEC9}">
  <dimension ref="A1:J14"/>
  <sheetViews>
    <sheetView tabSelected="1" workbookViewId="0">
      <selection activeCell="I9" sqref="I9"/>
    </sheetView>
  </sheetViews>
  <sheetFormatPr defaultRowHeight="15" x14ac:dyDescent="0.25"/>
  <cols>
    <col min="3" max="3" width="10.28515625" bestFit="1" customWidth="1"/>
  </cols>
  <sheetData>
    <row r="1" spans="1:10" ht="26.25" x14ac:dyDescent="0.4">
      <c r="A1" s="14" t="s">
        <v>0</v>
      </c>
      <c r="B1" s="14"/>
      <c r="C1" s="14"/>
    </row>
    <row r="2" spans="1:10" x14ac:dyDescent="0.25">
      <c r="B2" s="2" t="s">
        <v>6</v>
      </c>
      <c r="C2" s="2" t="s">
        <v>5</v>
      </c>
      <c r="D2" s="2" t="s">
        <v>1</v>
      </c>
      <c r="E2" s="2" t="s">
        <v>5</v>
      </c>
      <c r="F2" s="2" t="s">
        <v>2</v>
      </c>
      <c r="G2" s="1" t="s">
        <v>5</v>
      </c>
    </row>
    <row r="3" spans="1:10" ht="18.75" x14ac:dyDescent="0.3">
      <c r="A3" s="13">
        <v>43714</v>
      </c>
      <c r="B3" s="3">
        <v>546</v>
      </c>
      <c r="C3" s="16">
        <f>(B3-C12)/C13</f>
        <v>0.37792325878118227</v>
      </c>
      <c r="D3" s="3">
        <v>35402</v>
      </c>
      <c r="E3" s="16">
        <f>(D3-E12)/E13</f>
        <v>-0.76348054859676628</v>
      </c>
      <c r="F3" s="4">
        <v>142</v>
      </c>
      <c r="G3" s="16">
        <f>(F3-G12)/G13</f>
        <v>-0.75714710178356126</v>
      </c>
      <c r="H3" s="6"/>
      <c r="I3" s="15" t="s">
        <v>8</v>
      </c>
    </row>
    <row r="4" spans="1:10" x14ac:dyDescent="0.25">
      <c r="A4" s="13">
        <v>43715</v>
      </c>
      <c r="B4" s="5">
        <v>376</v>
      </c>
      <c r="C4" s="17">
        <f>(B4-C12)/C13</f>
        <v>-1.0000274970965868</v>
      </c>
      <c r="D4" s="5">
        <v>38545</v>
      </c>
      <c r="E4" s="17">
        <f>(D4-E12)/E13</f>
        <v>-0.53920133610620513</v>
      </c>
      <c r="F4" s="6">
        <v>154</v>
      </c>
      <c r="G4" s="17">
        <f>(F4-G12)/G13</f>
        <v>-0.54273376322538458</v>
      </c>
      <c r="H4" s="6"/>
      <c r="I4" t="s">
        <v>9</v>
      </c>
    </row>
    <row r="5" spans="1:10" x14ac:dyDescent="0.25">
      <c r="A5" s="13">
        <v>43716</v>
      </c>
      <c r="B5" s="5">
        <v>341</v>
      </c>
      <c r="C5" s="17">
        <f>(B5-C12)/C13</f>
        <v>-1.2837232409537747</v>
      </c>
      <c r="D5" s="5">
        <v>39777</v>
      </c>
      <c r="E5" s="17">
        <f>(D5-E12)/E13</f>
        <v>-0.45128788087605198</v>
      </c>
      <c r="F5" s="6">
        <v>159</v>
      </c>
      <c r="G5" s="17">
        <f>(F5-G12)/G13</f>
        <v>-0.45339487215947766</v>
      </c>
      <c r="H5" s="6"/>
      <c r="I5" t="s">
        <v>10</v>
      </c>
      <c r="J5" s="6"/>
    </row>
    <row r="6" spans="1:10" x14ac:dyDescent="0.25">
      <c r="A6" s="13">
        <v>43717</v>
      </c>
      <c r="B6" s="5">
        <v>508</v>
      </c>
      <c r="C6" s="17">
        <f>(B6-C12)/C13</f>
        <v>6.9910736879092703E-2</v>
      </c>
      <c r="D6" s="5">
        <v>39358</v>
      </c>
      <c r="E6" s="17">
        <f>(D6-E12)/E13</f>
        <v>-0.48118701865319013</v>
      </c>
      <c r="F6" s="6">
        <v>157</v>
      </c>
      <c r="G6" s="17">
        <f>(F6-G12)/G13</f>
        <v>-0.48913042858584044</v>
      </c>
      <c r="H6" s="6"/>
      <c r="I6" t="s">
        <v>11</v>
      </c>
      <c r="J6" s="6"/>
    </row>
    <row r="7" spans="1:10" x14ac:dyDescent="0.25">
      <c r="A7" s="13">
        <v>43718</v>
      </c>
      <c r="B7" s="5">
        <v>572</v>
      </c>
      <c r="C7" s="17">
        <f>(B7-C12)/C13</f>
        <v>0.58866866850366462</v>
      </c>
      <c r="D7" s="5">
        <v>57187</v>
      </c>
      <c r="E7" s="17">
        <f>(D7-E12)/E13</f>
        <v>0.79106054084226485</v>
      </c>
      <c r="F7" s="6">
        <v>229</v>
      </c>
      <c r="G7" s="17">
        <f>(F7-G12)/G13</f>
        <v>0.79734960276321931</v>
      </c>
      <c r="H7" s="6"/>
      <c r="I7" t="s">
        <v>12</v>
      </c>
      <c r="J7" s="6"/>
    </row>
    <row r="8" spans="1:10" x14ac:dyDescent="0.25">
      <c r="A8" s="13">
        <v>43719</v>
      </c>
      <c r="B8" s="5">
        <v>531</v>
      </c>
      <c r="C8" s="17">
        <f>(B8-C12)/C13</f>
        <v>0.25633936855667322</v>
      </c>
      <c r="D8" s="5">
        <v>38453</v>
      </c>
      <c r="E8" s="17">
        <f>(D8-E12)/E13</f>
        <v>-0.54576630191884645</v>
      </c>
      <c r="F8" s="6">
        <v>154</v>
      </c>
      <c r="G8" s="17">
        <f>(F8-G12)/G13</f>
        <v>-0.54273376322538458</v>
      </c>
      <c r="H8" s="6"/>
      <c r="I8" t="s">
        <v>13</v>
      </c>
      <c r="J8" s="6"/>
    </row>
    <row r="9" spans="1:10" x14ac:dyDescent="0.25">
      <c r="A9" s="13">
        <v>43720</v>
      </c>
      <c r="B9" s="5">
        <v>402</v>
      </c>
      <c r="C9" s="17">
        <f>(B9-C12)/C13</f>
        <v>-0.78928208737410455</v>
      </c>
      <c r="D9" s="5">
        <v>43499</v>
      </c>
      <c r="E9" s="19">
        <f>(D9--E12)/E13</f>
        <v>6.393723674501242</v>
      </c>
      <c r="F9" s="6">
        <v>174</v>
      </c>
      <c r="G9" s="17">
        <f>(F9-G12)/G13</f>
        <v>-0.18537819896175686</v>
      </c>
      <c r="H9" s="6"/>
      <c r="I9" t="s">
        <v>14</v>
      </c>
      <c r="J9" s="6"/>
    </row>
    <row r="10" spans="1:10" x14ac:dyDescent="0.25">
      <c r="A10" s="13">
        <v>43721</v>
      </c>
      <c r="B10" s="7">
        <v>719</v>
      </c>
      <c r="C10" s="18">
        <f>(B10-C12)/C13</f>
        <v>1.7801907927038532</v>
      </c>
      <c r="D10" s="7">
        <v>76589</v>
      </c>
      <c r="E10" s="20">
        <f>(D10-E12)/E13</f>
        <v>2.1755547440690761</v>
      </c>
      <c r="F10" s="8">
        <v>306</v>
      </c>
      <c r="G10" s="20">
        <f>(F10-G12)/G13</f>
        <v>2.1731685251781858</v>
      </c>
      <c r="H10" s="6"/>
      <c r="J10" s="6"/>
    </row>
    <row r="11" spans="1:10" x14ac:dyDescent="0.25">
      <c r="J11" s="6"/>
    </row>
    <row r="12" spans="1:10" x14ac:dyDescent="0.25">
      <c r="B12" s="21" t="s">
        <v>3</v>
      </c>
      <c r="C12" s="16">
        <f>AVERAGE(B3:B10)</f>
        <v>499.375</v>
      </c>
      <c r="D12" s="11" t="s">
        <v>3</v>
      </c>
      <c r="E12" s="4">
        <f>AVERAGE(D3:D10)</f>
        <v>46101.25</v>
      </c>
      <c r="F12" s="11" t="s">
        <v>3</v>
      </c>
      <c r="G12" s="16">
        <f>AVERAGE(F3:F10)</f>
        <v>184.375</v>
      </c>
      <c r="J12" s="6"/>
    </row>
    <row r="13" spans="1:10" x14ac:dyDescent="0.25">
      <c r="B13" s="22" t="s">
        <v>4</v>
      </c>
      <c r="C13" s="17">
        <f>STDEV(B3:B10)</f>
        <v>123.37160763898868</v>
      </c>
      <c r="D13" s="10" t="s">
        <v>4</v>
      </c>
      <c r="E13" s="6">
        <f>STDEV(D3:D10)</f>
        <v>14013.78204024269</v>
      </c>
      <c r="F13" s="10" t="s">
        <v>4</v>
      </c>
      <c r="G13" s="17">
        <f>STDEV(F3:F10)</f>
        <v>55.966667375705491</v>
      </c>
    </row>
    <row r="14" spans="1:10" x14ac:dyDescent="0.25">
      <c r="B14" s="23" t="s">
        <v>7</v>
      </c>
      <c r="C14" s="9">
        <v>378</v>
      </c>
      <c r="D14" s="12" t="s">
        <v>7</v>
      </c>
      <c r="E14" s="8">
        <v>41187</v>
      </c>
      <c r="F14" s="12" t="s">
        <v>7</v>
      </c>
      <c r="G14" s="9">
        <v>164</v>
      </c>
    </row>
  </sheetData>
  <sortState xmlns:xlrd2="http://schemas.microsoft.com/office/spreadsheetml/2017/richdata2" ref="J5:J12">
    <sortCondition descending="1" ref="J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2019-09-14T00:25:59Z</dcterms:created>
  <dcterms:modified xsi:type="dcterms:W3CDTF">2019-09-14T01:59:32Z</dcterms:modified>
</cp:coreProperties>
</file>