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3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skyla\OneDrive\Desktop\SkyVale_Repo\Statistics\"/>
    </mc:Choice>
  </mc:AlternateContent>
  <xr:revisionPtr revIDLastSave="0" documentId="13_ncr:1_{AE19F0AE-CAA3-4C8A-9D30-F718B175582A}" xr6:coauthVersionLast="41" xr6:coauthVersionMax="41" xr10:uidLastSave="{00000000-0000-0000-0000-000000000000}"/>
  <bookViews>
    <workbookView xWindow="-120" yWindow="-120" windowWidth="29040" windowHeight="15840" tabRatio="500" activeTab="4" xr2:uid="{00000000-000D-0000-FFFF-FFFF00000000}"/>
  </bookViews>
  <sheets>
    <sheet name="Problem 1 Data" sheetId="1" r:id="rId1"/>
    <sheet name="Problem 2 Data" sheetId="2" r:id="rId2"/>
    <sheet name="Problem 3 Data" sheetId="3" r:id="rId3"/>
    <sheet name="Problem 4 Data" sheetId="4" r:id="rId4"/>
    <sheet name="Problem 5 Data" sheetId="5" r:id="rId5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1" i="5" l="1"/>
  <c r="G22" i="5"/>
  <c r="G20" i="5"/>
  <c r="G5" i="5"/>
  <c r="G4" i="5"/>
  <c r="G3" i="5"/>
  <c r="G21" i="4"/>
  <c r="G22" i="4"/>
  <c r="G20" i="4"/>
  <c r="G6" i="4"/>
  <c r="G5" i="4"/>
  <c r="G4" i="4"/>
  <c r="G5" i="3"/>
  <c r="G4" i="3"/>
  <c r="G3" i="3"/>
  <c r="G20" i="2"/>
  <c r="G21" i="2"/>
  <c r="G19" i="2"/>
  <c r="G5" i="2"/>
  <c r="G4" i="2"/>
  <c r="G3" i="2"/>
  <c r="G21" i="1"/>
  <c r="G22" i="1"/>
  <c r="G20" i="1"/>
  <c r="G4" i="1"/>
  <c r="G3" i="1"/>
  <c r="G2" i="1"/>
</calcChain>
</file>

<file path=xl/sharedStrings.xml><?xml version="1.0" encoding="utf-8"?>
<sst xmlns="http://schemas.openxmlformats.org/spreadsheetml/2006/main" count="100" uniqueCount="31">
  <si>
    <t>Nitrates</t>
  </si>
  <si>
    <t>Absorbence</t>
  </si>
  <si>
    <t>Salary</t>
  </si>
  <si>
    <t>SAT Score</t>
  </si>
  <si>
    <t>Distance</t>
  </si>
  <si>
    <t>Time</t>
  </si>
  <si>
    <t>IP</t>
  </si>
  <si>
    <t>HR</t>
  </si>
  <si>
    <t>Fans</t>
  </si>
  <si>
    <t>a)</t>
  </si>
  <si>
    <t>Mean:</t>
  </si>
  <si>
    <t>St. Dev. :</t>
  </si>
  <si>
    <t>Coefficient:</t>
  </si>
  <si>
    <t>b)</t>
  </si>
  <si>
    <t>c)</t>
  </si>
  <si>
    <t>The correlation coefficient is 1.0, so that means</t>
  </si>
  <si>
    <t>that the correlation is perfect</t>
  </si>
  <si>
    <t>d)</t>
  </si>
  <si>
    <t>e)</t>
  </si>
  <si>
    <t>The data is not as strong as the previous set,</t>
  </si>
  <si>
    <t>since the correlation is only at -0.47.</t>
  </si>
  <si>
    <t xml:space="preserve">The correlation coefficient is so close to 0, that I can </t>
  </si>
  <si>
    <t xml:space="preserve">make an assumption that there is not much of a relationship </t>
  </si>
  <si>
    <t xml:space="preserve">between time and distance. </t>
  </si>
  <si>
    <t>I would not use the line to make predictions, because</t>
  </si>
  <si>
    <t>there isn't really a line to begin with. The data is very randomly</t>
  </si>
  <si>
    <t>distributed with no real correlation.</t>
  </si>
  <si>
    <t>The correlation is very weak with this data</t>
  </si>
  <si>
    <t>since the correlation coefficient is close to 0.</t>
  </si>
  <si>
    <t xml:space="preserve">The data is more on the weak side, but still has enough </t>
  </si>
  <si>
    <t>correlation to make a prediction.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</si>
</sst>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6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21">
    <xf numFmtId="0" fontId="0" fillId="0" borderId="0" xfId="0"/>
    <xf numFmtId="0" fontId="2" fillId="0" borderId="1" xfId="0" applyFont="1" applyBorder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2" fillId="5" borderId="1" xfId="0" applyFont="1" applyFill="1" applyBorder="1"/>
    <xf numFmtId="0" fontId="2" fillId="6" borderId="1" xfId="0" applyFont="1" applyFill="1" applyBorder="1"/>
    <xf numFmtId="0" fontId="2" fillId="7" borderId="1" xfId="0" applyFont="1" applyFill="1" applyBorder="1"/>
    <xf numFmtId="0" fontId="2" fillId="8" borderId="1" xfId="0" applyFont="1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2" fillId="11" borderId="1" xfId="0" applyFont="1" applyFill="1" applyBorder="1"/>
    <xf numFmtId="2" fontId="0" fillId="0" borderId="0" xfId="0" applyNumberFormat="1"/>
    <xf numFmtId="2" fontId="0" fillId="0" borderId="1" xfId="0" applyNumberFormat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/>
    <xf numFmtId="1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1" fillId="0" borderId="0" xfId="0" applyFont="1"/>
    <xf numFmtId="0" fontId="0" fillId="8" borderId="1" xfId="0" applyFill="1" applyBorder="1" applyAlignment="1">
      <alignment horizontal="center"/>
    </xf>
    <xf numFmtId="0" fontId="0" fillId="10" borderId="1" xfId="0" applyFill="1" applyBorder="1" applyAlignment="1">
      <alignment horizontal="center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1 Data'!$B$1</c:f>
              <c:strCache>
                <c:ptCount val="1"/>
                <c:pt idx="0">
                  <c:v>Absorbence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44263407699037621"/>
                  <c:y val="-4.671296296296296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2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1 Data'!$A$2:$A$11</c:f>
              <c:numCache>
                <c:formatCode>General</c:formatCode>
                <c:ptCount val="10"/>
                <c:pt idx="0">
                  <c:v>50</c:v>
                </c:pt>
                <c:pt idx="1">
                  <c:v>50</c:v>
                </c:pt>
                <c:pt idx="2">
                  <c:v>100</c:v>
                </c:pt>
                <c:pt idx="3">
                  <c:v>200</c:v>
                </c:pt>
                <c:pt idx="4">
                  <c:v>400</c:v>
                </c:pt>
                <c:pt idx="5">
                  <c:v>800</c:v>
                </c:pt>
                <c:pt idx="6">
                  <c:v>1200</c:v>
                </c:pt>
                <c:pt idx="7">
                  <c:v>1600</c:v>
                </c:pt>
                <c:pt idx="8">
                  <c:v>2000</c:v>
                </c:pt>
                <c:pt idx="9">
                  <c:v>2000</c:v>
                </c:pt>
              </c:numCache>
            </c:numRef>
          </c:xVal>
          <c:yVal>
            <c:numRef>
              <c:f>'Problem 1 Data'!$B$2:$B$11</c:f>
              <c:numCache>
                <c:formatCode>General</c:formatCode>
                <c:ptCount val="10"/>
                <c:pt idx="0">
                  <c:v>7</c:v>
                </c:pt>
                <c:pt idx="1">
                  <c:v>7.5</c:v>
                </c:pt>
                <c:pt idx="2">
                  <c:v>12.8</c:v>
                </c:pt>
                <c:pt idx="3">
                  <c:v>24</c:v>
                </c:pt>
                <c:pt idx="4">
                  <c:v>47</c:v>
                </c:pt>
                <c:pt idx="5">
                  <c:v>93</c:v>
                </c:pt>
                <c:pt idx="6">
                  <c:v>138</c:v>
                </c:pt>
                <c:pt idx="7">
                  <c:v>183</c:v>
                </c:pt>
                <c:pt idx="8">
                  <c:v>230</c:v>
                </c:pt>
                <c:pt idx="9">
                  <c:v>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47-4952-86E9-4812E39575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359567"/>
        <c:axId val="1959438607"/>
      </c:scatterChart>
      <c:valAx>
        <c:axId val="195935956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438607"/>
        <c:crosses val="autoZero"/>
        <c:crossBetween val="midCat"/>
      </c:valAx>
      <c:valAx>
        <c:axId val="19594386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595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2 Data'!$B$1</c:f>
              <c:strCache>
                <c:ptCount val="1"/>
                <c:pt idx="0">
                  <c:v>SAT Score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8810258092738409"/>
                  <c:y val="-6.5380577427821523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2 Data'!$A$2:$A$51</c:f>
              <c:numCache>
                <c:formatCode>General</c:formatCode>
                <c:ptCount val="50"/>
                <c:pt idx="0">
                  <c:v>31144</c:v>
                </c:pt>
                <c:pt idx="1">
                  <c:v>47951</c:v>
                </c:pt>
                <c:pt idx="2">
                  <c:v>32175</c:v>
                </c:pt>
                <c:pt idx="3">
                  <c:v>29934</c:v>
                </c:pt>
                <c:pt idx="4">
                  <c:v>41078</c:v>
                </c:pt>
                <c:pt idx="5">
                  <c:v>34571</c:v>
                </c:pt>
                <c:pt idx="6">
                  <c:v>50045</c:v>
                </c:pt>
                <c:pt idx="7">
                  <c:v>39076</c:v>
                </c:pt>
                <c:pt idx="8">
                  <c:v>32588</c:v>
                </c:pt>
                <c:pt idx="9">
                  <c:v>32291</c:v>
                </c:pt>
                <c:pt idx="10">
                  <c:v>38518</c:v>
                </c:pt>
                <c:pt idx="11">
                  <c:v>29783</c:v>
                </c:pt>
                <c:pt idx="12">
                  <c:v>39431</c:v>
                </c:pt>
                <c:pt idx="13">
                  <c:v>36785</c:v>
                </c:pt>
                <c:pt idx="14">
                  <c:v>31511</c:v>
                </c:pt>
                <c:pt idx="15">
                  <c:v>34652</c:v>
                </c:pt>
                <c:pt idx="16">
                  <c:v>32257</c:v>
                </c:pt>
                <c:pt idx="17">
                  <c:v>26461</c:v>
                </c:pt>
                <c:pt idx="18">
                  <c:v>31972</c:v>
                </c:pt>
                <c:pt idx="19">
                  <c:v>40661</c:v>
                </c:pt>
                <c:pt idx="20">
                  <c:v>40795</c:v>
                </c:pt>
                <c:pt idx="21">
                  <c:v>41895</c:v>
                </c:pt>
                <c:pt idx="22">
                  <c:v>35948</c:v>
                </c:pt>
                <c:pt idx="23">
                  <c:v>26818</c:v>
                </c:pt>
                <c:pt idx="24">
                  <c:v>31189</c:v>
                </c:pt>
                <c:pt idx="25">
                  <c:v>28785</c:v>
                </c:pt>
                <c:pt idx="26">
                  <c:v>30922</c:v>
                </c:pt>
                <c:pt idx="27">
                  <c:v>34836</c:v>
                </c:pt>
                <c:pt idx="28">
                  <c:v>34729</c:v>
                </c:pt>
                <c:pt idx="29">
                  <c:v>46087</c:v>
                </c:pt>
                <c:pt idx="30">
                  <c:v>28493</c:v>
                </c:pt>
                <c:pt idx="31">
                  <c:v>47612</c:v>
                </c:pt>
                <c:pt idx="32">
                  <c:v>30793</c:v>
                </c:pt>
                <c:pt idx="33">
                  <c:v>26327</c:v>
                </c:pt>
                <c:pt idx="34">
                  <c:v>36802</c:v>
                </c:pt>
                <c:pt idx="35">
                  <c:v>28172</c:v>
                </c:pt>
                <c:pt idx="36">
                  <c:v>38555</c:v>
                </c:pt>
                <c:pt idx="37">
                  <c:v>44516</c:v>
                </c:pt>
                <c:pt idx="38">
                  <c:v>40729</c:v>
                </c:pt>
                <c:pt idx="39">
                  <c:v>30279</c:v>
                </c:pt>
                <c:pt idx="40">
                  <c:v>25994</c:v>
                </c:pt>
                <c:pt idx="41">
                  <c:v>32477</c:v>
                </c:pt>
                <c:pt idx="42">
                  <c:v>39223</c:v>
                </c:pt>
                <c:pt idx="43">
                  <c:v>29082</c:v>
                </c:pt>
                <c:pt idx="44">
                  <c:v>35406</c:v>
                </c:pt>
                <c:pt idx="45">
                  <c:v>33987</c:v>
                </c:pt>
                <c:pt idx="46">
                  <c:v>36151</c:v>
                </c:pt>
                <c:pt idx="47">
                  <c:v>31944</c:v>
                </c:pt>
                <c:pt idx="48">
                  <c:v>37746</c:v>
                </c:pt>
                <c:pt idx="49">
                  <c:v>31285</c:v>
                </c:pt>
              </c:numCache>
            </c:numRef>
          </c:xVal>
          <c:yVal>
            <c:numRef>
              <c:f>'Problem 2 Data'!$B$2:$B$51</c:f>
              <c:numCache>
                <c:formatCode>General</c:formatCode>
                <c:ptCount val="50"/>
                <c:pt idx="0">
                  <c:v>1029</c:v>
                </c:pt>
                <c:pt idx="1">
                  <c:v>934</c:v>
                </c:pt>
                <c:pt idx="2">
                  <c:v>944</c:v>
                </c:pt>
                <c:pt idx="3">
                  <c:v>1005</c:v>
                </c:pt>
                <c:pt idx="4">
                  <c:v>902</c:v>
                </c:pt>
                <c:pt idx="5">
                  <c:v>986</c:v>
                </c:pt>
                <c:pt idx="6">
                  <c:v>908</c:v>
                </c:pt>
                <c:pt idx="7">
                  <c:v>897</c:v>
                </c:pt>
                <c:pt idx="8">
                  <c:v>889</c:v>
                </c:pt>
                <c:pt idx="9">
                  <c:v>854</c:v>
                </c:pt>
                <c:pt idx="10">
                  <c:v>889</c:v>
                </c:pt>
                <c:pt idx="11">
                  <c:v>956</c:v>
                </c:pt>
                <c:pt idx="12">
                  <c:v>1048</c:v>
                </c:pt>
                <c:pt idx="13">
                  <c:v>882</c:v>
                </c:pt>
                <c:pt idx="14">
                  <c:v>1099</c:v>
                </c:pt>
                <c:pt idx="15">
                  <c:v>1060</c:v>
                </c:pt>
                <c:pt idx="16">
                  <c:v>999</c:v>
                </c:pt>
                <c:pt idx="17">
                  <c:v>1021</c:v>
                </c:pt>
                <c:pt idx="18">
                  <c:v>896</c:v>
                </c:pt>
                <c:pt idx="19">
                  <c:v>909</c:v>
                </c:pt>
                <c:pt idx="20">
                  <c:v>907</c:v>
                </c:pt>
                <c:pt idx="21">
                  <c:v>1033</c:v>
                </c:pt>
                <c:pt idx="22">
                  <c:v>1045</c:v>
                </c:pt>
                <c:pt idx="23">
                  <c:v>1036</c:v>
                </c:pt>
                <c:pt idx="24">
                  <c:v>1045</c:v>
                </c:pt>
                <c:pt idx="25">
                  <c:v>1009</c:v>
                </c:pt>
                <c:pt idx="26">
                  <c:v>1050</c:v>
                </c:pt>
                <c:pt idx="27">
                  <c:v>917</c:v>
                </c:pt>
                <c:pt idx="28">
                  <c:v>935</c:v>
                </c:pt>
                <c:pt idx="29">
                  <c:v>898</c:v>
                </c:pt>
                <c:pt idx="30">
                  <c:v>1015</c:v>
                </c:pt>
                <c:pt idx="31">
                  <c:v>892</c:v>
                </c:pt>
                <c:pt idx="32">
                  <c:v>865</c:v>
                </c:pt>
                <c:pt idx="33">
                  <c:v>1107</c:v>
                </c:pt>
                <c:pt idx="34">
                  <c:v>975</c:v>
                </c:pt>
                <c:pt idx="35">
                  <c:v>1027</c:v>
                </c:pt>
                <c:pt idx="36">
                  <c:v>947</c:v>
                </c:pt>
                <c:pt idx="37">
                  <c:v>880</c:v>
                </c:pt>
                <c:pt idx="38">
                  <c:v>888</c:v>
                </c:pt>
                <c:pt idx="39">
                  <c:v>844</c:v>
                </c:pt>
                <c:pt idx="40">
                  <c:v>1068</c:v>
                </c:pt>
                <c:pt idx="41">
                  <c:v>1040</c:v>
                </c:pt>
                <c:pt idx="42">
                  <c:v>893</c:v>
                </c:pt>
                <c:pt idx="43">
                  <c:v>1076</c:v>
                </c:pt>
                <c:pt idx="44">
                  <c:v>901</c:v>
                </c:pt>
                <c:pt idx="45">
                  <c:v>896</c:v>
                </c:pt>
                <c:pt idx="46">
                  <c:v>937</c:v>
                </c:pt>
                <c:pt idx="47">
                  <c:v>932</c:v>
                </c:pt>
                <c:pt idx="48">
                  <c:v>1073</c:v>
                </c:pt>
                <c:pt idx="49">
                  <c:v>1001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7C6-42EA-B834-06FAEF91C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700287"/>
        <c:axId val="1477359119"/>
      </c:scatterChart>
      <c:valAx>
        <c:axId val="2049700287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7359119"/>
        <c:crosses val="autoZero"/>
        <c:crossBetween val="midCat"/>
      </c:valAx>
      <c:valAx>
        <c:axId val="14773591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00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3 Data'!$B$1</c:f>
              <c:strCache>
                <c:ptCount val="1"/>
                <c:pt idx="0">
                  <c:v>Time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6195056867891512"/>
                  <c:y val="-0.173184601924759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3 Data'!$A$2:$A$46</c:f>
              <c:numCache>
                <c:formatCode>General</c:formatCode>
                <c:ptCount val="45"/>
                <c:pt idx="0">
                  <c:v>142</c:v>
                </c:pt>
                <c:pt idx="1">
                  <c:v>135</c:v>
                </c:pt>
                <c:pt idx="2">
                  <c:v>76</c:v>
                </c:pt>
                <c:pt idx="3">
                  <c:v>201</c:v>
                </c:pt>
                <c:pt idx="4">
                  <c:v>247</c:v>
                </c:pt>
                <c:pt idx="5">
                  <c:v>82</c:v>
                </c:pt>
                <c:pt idx="6">
                  <c:v>82</c:v>
                </c:pt>
                <c:pt idx="7">
                  <c:v>244</c:v>
                </c:pt>
                <c:pt idx="8">
                  <c:v>255</c:v>
                </c:pt>
                <c:pt idx="9">
                  <c:v>274</c:v>
                </c:pt>
                <c:pt idx="10">
                  <c:v>189</c:v>
                </c:pt>
                <c:pt idx="11">
                  <c:v>108</c:v>
                </c:pt>
                <c:pt idx="12">
                  <c:v>92</c:v>
                </c:pt>
                <c:pt idx="13">
                  <c:v>147</c:v>
                </c:pt>
                <c:pt idx="14">
                  <c:v>199</c:v>
                </c:pt>
                <c:pt idx="15">
                  <c:v>108</c:v>
                </c:pt>
                <c:pt idx="16">
                  <c:v>254</c:v>
                </c:pt>
                <c:pt idx="17">
                  <c:v>103</c:v>
                </c:pt>
                <c:pt idx="18">
                  <c:v>159</c:v>
                </c:pt>
                <c:pt idx="19">
                  <c:v>257</c:v>
                </c:pt>
                <c:pt idx="20">
                  <c:v>258</c:v>
                </c:pt>
                <c:pt idx="21">
                  <c:v>81</c:v>
                </c:pt>
                <c:pt idx="22">
                  <c:v>284</c:v>
                </c:pt>
                <c:pt idx="23">
                  <c:v>293</c:v>
                </c:pt>
                <c:pt idx="24">
                  <c:v>94</c:v>
                </c:pt>
                <c:pt idx="25">
                  <c:v>290</c:v>
                </c:pt>
                <c:pt idx="26">
                  <c:v>77</c:v>
                </c:pt>
                <c:pt idx="27">
                  <c:v>115</c:v>
                </c:pt>
                <c:pt idx="28">
                  <c:v>183</c:v>
                </c:pt>
                <c:pt idx="29">
                  <c:v>261</c:v>
                </c:pt>
                <c:pt idx="30">
                  <c:v>169</c:v>
                </c:pt>
                <c:pt idx="31">
                  <c:v>167</c:v>
                </c:pt>
                <c:pt idx="32">
                  <c:v>146</c:v>
                </c:pt>
                <c:pt idx="33">
                  <c:v>184</c:v>
                </c:pt>
                <c:pt idx="34">
                  <c:v>126</c:v>
                </c:pt>
                <c:pt idx="35">
                  <c:v>242</c:v>
                </c:pt>
                <c:pt idx="36">
                  <c:v>156</c:v>
                </c:pt>
                <c:pt idx="37">
                  <c:v>171</c:v>
                </c:pt>
                <c:pt idx="38">
                  <c:v>236</c:v>
                </c:pt>
                <c:pt idx="39">
                  <c:v>264</c:v>
                </c:pt>
                <c:pt idx="40">
                  <c:v>155</c:v>
                </c:pt>
                <c:pt idx="41">
                  <c:v>202</c:v>
                </c:pt>
                <c:pt idx="42">
                  <c:v>151</c:v>
                </c:pt>
                <c:pt idx="43">
                  <c:v>238</c:v>
                </c:pt>
                <c:pt idx="44">
                  <c:v>174</c:v>
                </c:pt>
              </c:numCache>
            </c:numRef>
          </c:xVal>
          <c:yVal>
            <c:numRef>
              <c:f>'Problem 3 Data'!$B$2:$B$46</c:f>
              <c:numCache>
                <c:formatCode>General</c:formatCode>
                <c:ptCount val="45"/>
                <c:pt idx="0">
                  <c:v>172</c:v>
                </c:pt>
                <c:pt idx="1">
                  <c:v>173</c:v>
                </c:pt>
                <c:pt idx="2">
                  <c:v>172</c:v>
                </c:pt>
                <c:pt idx="3">
                  <c:v>149</c:v>
                </c:pt>
                <c:pt idx="4">
                  <c:v>161</c:v>
                </c:pt>
                <c:pt idx="5">
                  <c:v>67</c:v>
                </c:pt>
                <c:pt idx="6">
                  <c:v>201</c:v>
                </c:pt>
                <c:pt idx="7">
                  <c:v>205</c:v>
                </c:pt>
                <c:pt idx="8">
                  <c:v>182</c:v>
                </c:pt>
                <c:pt idx="9">
                  <c:v>79</c:v>
                </c:pt>
                <c:pt idx="10">
                  <c:v>59</c:v>
                </c:pt>
                <c:pt idx="11">
                  <c:v>196</c:v>
                </c:pt>
                <c:pt idx="12">
                  <c:v>91</c:v>
                </c:pt>
                <c:pt idx="13">
                  <c:v>159</c:v>
                </c:pt>
                <c:pt idx="14">
                  <c:v>192</c:v>
                </c:pt>
                <c:pt idx="15">
                  <c:v>68</c:v>
                </c:pt>
                <c:pt idx="16">
                  <c:v>166</c:v>
                </c:pt>
                <c:pt idx="17">
                  <c:v>75</c:v>
                </c:pt>
                <c:pt idx="18">
                  <c:v>139</c:v>
                </c:pt>
                <c:pt idx="19">
                  <c:v>174</c:v>
                </c:pt>
                <c:pt idx="20">
                  <c:v>162</c:v>
                </c:pt>
                <c:pt idx="21">
                  <c:v>174</c:v>
                </c:pt>
                <c:pt idx="22">
                  <c:v>199</c:v>
                </c:pt>
                <c:pt idx="23">
                  <c:v>57</c:v>
                </c:pt>
                <c:pt idx="24">
                  <c:v>136</c:v>
                </c:pt>
                <c:pt idx="25">
                  <c:v>123</c:v>
                </c:pt>
                <c:pt idx="26">
                  <c:v>156</c:v>
                </c:pt>
                <c:pt idx="27">
                  <c:v>117</c:v>
                </c:pt>
                <c:pt idx="28">
                  <c:v>154</c:v>
                </c:pt>
                <c:pt idx="29">
                  <c:v>192</c:v>
                </c:pt>
                <c:pt idx="30">
                  <c:v>175</c:v>
                </c:pt>
                <c:pt idx="31">
                  <c:v>90</c:v>
                </c:pt>
                <c:pt idx="32">
                  <c:v>212</c:v>
                </c:pt>
                <c:pt idx="33">
                  <c:v>168</c:v>
                </c:pt>
                <c:pt idx="34">
                  <c:v>85</c:v>
                </c:pt>
                <c:pt idx="35">
                  <c:v>132</c:v>
                </c:pt>
                <c:pt idx="36">
                  <c:v>203</c:v>
                </c:pt>
                <c:pt idx="37">
                  <c:v>202</c:v>
                </c:pt>
                <c:pt idx="38">
                  <c:v>58</c:v>
                </c:pt>
                <c:pt idx="39">
                  <c:v>151</c:v>
                </c:pt>
                <c:pt idx="40">
                  <c:v>73</c:v>
                </c:pt>
                <c:pt idx="41">
                  <c:v>227</c:v>
                </c:pt>
                <c:pt idx="42">
                  <c:v>193</c:v>
                </c:pt>
                <c:pt idx="43">
                  <c:v>94</c:v>
                </c:pt>
                <c:pt idx="44">
                  <c:v>174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3D-4DE8-A30D-2F40245BF7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59339023"/>
        <c:axId val="1971894463"/>
      </c:scatterChart>
      <c:valAx>
        <c:axId val="195933902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894463"/>
        <c:crosses val="autoZero"/>
        <c:crossBetween val="midCat"/>
      </c:valAx>
      <c:valAx>
        <c:axId val="1971894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33902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4 Data'!$B$1</c:f>
              <c:strCache>
                <c:ptCount val="1"/>
                <c:pt idx="0">
                  <c:v>HR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1041360454943134"/>
                  <c:y val="-0.2988181685622630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4 Data'!$A$2:$A$40</c:f>
              <c:numCache>
                <c:formatCode>General</c:formatCode>
                <c:ptCount val="39"/>
                <c:pt idx="0">
                  <c:v>59</c:v>
                </c:pt>
                <c:pt idx="1">
                  <c:v>61</c:v>
                </c:pt>
                <c:pt idx="2">
                  <c:v>60</c:v>
                </c:pt>
                <c:pt idx="3">
                  <c:v>64.2</c:v>
                </c:pt>
                <c:pt idx="4">
                  <c:v>66</c:v>
                </c:pt>
                <c:pt idx="5">
                  <c:v>57.2</c:v>
                </c:pt>
                <c:pt idx="6">
                  <c:v>65.099999999999994</c:v>
                </c:pt>
                <c:pt idx="7">
                  <c:v>55</c:v>
                </c:pt>
                <c:pt idx="8">
                  <c:v>72.2</c:v>
                </c:pt>
                <c:pt idx="9">
                  <c:v>57</c:v>
                </c:pt>
                <c:pt idx="10">
                  <c:v>61.2</c:v>
                </c:pt>
                <c:pt idx="11">
                  <c:v>60</c:v>
                </c:pt>
                <c:pt idx="12">
                  <c:v>54.2</c:v>
                </c:pt>
                <c:pt idx="13">
                  <c:v>52.2</c:v>
                </c:pt>
                <c:pt idx="14">
                  <c:v>55.2</c:v>
                </c:pt>
                <c:pt idx="15">
                  <c:v>57.1</c:v>
                </c:pt>
                <c:pt idx="16">
                  <c:v>56.1</c:v>
                </c:pt>
                <c:pt idx="17">
                  <c:v>55.2</c:v>
                </c:pt>
                <c:pt idx="18">
                  <c:v>55.1</c:v>
                </c:pt>
                <c:pt idx="19">
                  <c:v>44.2</c:v>
                </c:pt>
                <c:pt idx="20">
                  <c:v>57</c:v>
                </c:pt>
                <c:pt idx="21">
                  <c:v>56</c:v>
                </c:pt>
                <c:pt idx="22">
                  <c:v>58.2</c:v>
                </c:pt>
                <c:pt idx="23">
                  <c:v>58</c:v>
                </c:pt>
                <c:pt idx="24">
                  <c:v>45.1</c:v>
                </c:pt>
                <c:pt idx="25">
                  <c:v>60.1</c:v>
                </c:pt>
                <c:pt idx="26">
                  <c:v>66.099999999999994</c:v>
                </c:pt>
                <c:pt idx="27">
                  <c:v>45</c:v>
                </c:pt>
                <c:pt idx="28">
                  <c:v>56.2</c:v>
                </c:pt>
                <c:pt idx="29">
                  <c:v>65.099999999999994</c:v>
                </c:pt>
                <c:pt idx="30">
                  <c:v>55.1</c:v>
                </c:pt>
                <c:pt idx="31">
                  <c:v>54.2</c:v>
                </c:pt>
                <c:pt idx="32">
                  <c:v>56.2</c:v>
                </c:pt>
                <c:pt idx="33">
                  <c:v>59</c:v>
                </c:pt>
                <c:pt idx="34">
                  <c:v>55</c:v>
                </c:pt>
                <c:pt idx="35">
                  <c:v>54.9</c:v>
                </c:pt>
                <c:pt idx="36">
                  <c:v>52</c:v>
                </c:pt>
                <c:pt idx="37">
                  <c:v>49.1</c:v>
                </c:pt>
                <c:pt idx="38">
                  <c:v>69.2</c:v>
                </c:pt>
              </c:numCache>
            </c:numRef>
          </c:xVal>
          <c:yVal>
            <c:numRef>
              <c:f>'Problem 4 Data'!$B$2:$B$40</c:f>
              <c:numCache>
                <c:formatCode>General</c:formatCode>
                <c:ptCount val="39"/>
                <c:pt idx="0">
                  <c:v>2</c:v>
                </c:pt>
                <c:pt idx="1">
                  <c:v>5</c:v>
                </c:pt>
                <c:pt idx="2">
                  <c:v>3</c:v>
                </c:pt>
                <c:pt idx="3">
                  <c:v>3</c:v>
                </c:pt>
                <c:pt idx="4">
                  <c:v>2</c:v>
                </c:pt>
                <c:pt idx="5">
                  <c:v>4</c:v>
                </c:pt>
                <c:pt idx="6">
                  <c:v>2</c:v>
                </c:pt>
                <c:pt idx="7">
                  <c:v>3</c:v>
                </c:pt>
                <c:pt idx="8">
                  <c:v>4</c:v>
                </c:pt>
                <c:pt idx="9">
                  <c:v>2</c:v>
                </c:pt>
                <c:pt idx="10">
                  <c:v>1</c:v>
                </c:pt>
                <c:pt idx="11">
                  <c:v>6</c:v>
                </c:pt>
                <c:pt idx="12">
                  <c:v>4</c:v>
                </c:pt>
                <c:pt idx="13">
                  <c:v>6</c:v>
                </c:pt>
                <c:pt idx="14">
                  <c:v>4</c:v>
                </c:pt>
                <c:pt idx="15">
                  <c:v>5</c:v>
                </c:pt>
                <c:pt idx="16">
                  <c:v>3</c:v>
                </c:pt>
                <c:pt idx="17">
                  <c:v>6</c:v>
                </c:pt>
                <c:pt idx="18">
                  <c:v>8</c:v>
                </c:pt>
                <c:pt idx="19">
                  <c:v>6</c:v>
                </c:pt>
                <c:pt idx="20">
                  <c:v>3</c:v>
                </c:pt>
                <c:pt idx="21">
                  <c:v>2</c:v>
                </c:pt>
                <c:pt idx="22">
                  <c:v>6</c:v>
                </c:pt>
                <c:pt idx="23">
                  <c:v>8</c:v>
                </c:pt>
                <c:pt idx="24">
                  <c:v>3</c:v>
                </c:pt>
                <c:pt idx="25">
                  <c:v>4</c:v>
                </c:pt>
                <c:pt idx="26">
                  <c:v>5</c:v>
                </c:pt>
                <c:pt idx="27">
                  <c:v>8</c:v>
                </c:pt>
                <c:pt idx="28">
                  <c:v>6</c:v>
                </c:pt>
                <c:pt idx="29">
                  <c:v>8</c:v>
                </c:pt>
                <c:pt idx="30">
                  <c:v>6</c:v>
                </c:pt>
                <c:pt idx="31">
                  <c:v>6</c:v>
                </c:pt>
                <c:pt idx="32">
                  <c:v>4</c:v>
                </c:pt>
                <c:pt idx="33">
                  <c:v>7</c:v>
                </c:pt>
                <c:pt idx="34">
                  <c:v>4</c:v>
                </c:pt>
                <c:pt idx="35">
                  <c:v>3</c:v>
                </c:pt>
                <c:pt idx="36">
                  <c:v>4</c:v>
                </c:pt>
                <c:pt idx="37">
                  <c:v>4</c:v>
                </c:pt>
                <c:pt idx="38">
                  <c:v>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34B-4750-9218-A0042B70FB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989135"/>
        <c:axId val="2052363359"/>
      </c:scatterChart>
      <c:valAx>
        <c:axId val="1812989135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363359"/>
        <c:crosses val="autoZero"/>
        <c:crossBetween val="midCat"/>
      </c:valAx>
      <c:valAx>
        <c:axId val="20523633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29891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'Problem 5 Data'!$B$1</c:f>
              <c:strCache>
                <c:ptCount val="1"/>
                <c:pt idx="0">
                  <c:v>Fans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3594682852143482"/>
                  <c:y val="-0.5066017789442985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'Problem 5 Data'!$A$2:$A$16</c:f>
              <c:numCache>
                <c:formatCode>General</c:formatCode>
                <c:ptCount val="15"/>
                <c:pt idx="0">
                  <c:v>30</c:v>
                </c:pt>
                <c:pt idx="1">
                  <c:v>100</c:v>
                </c:pt>
                <c:pt idx="2">
                  <c:v>5</c:v>
                </c:pt>
                <c:pt idx="3">
                  <c:v>23</c:v>
                </c:pt>
                <c:pt idx="4">
                  <c:v>78</c:v>
                </c:pt>
                <c:pt idx="5">
                  <c:v>106</c:v>
                </c:pt>
                <c:pt idx="6">
                  <c:v>250</c:v>
                </c:pt>
                <c:pt idx="7">
                  <c:v>45</c:v>
                </c:pt>
                <c:pt idx="8">
                  <c:v>70</c:v>
                </c:pt>
                <c:pt idx="9">
                  <c:v>67</c:v>
                </c:pt>
                <c:pt idx="10">
                  <c:v>20</c:v>
                </c:pt>
                <c:pt idx="11">
                  <c:v>14</c:v>
                </c:pt>
                <c:pt idx="12">
                  <c:v>9</c:v>
                </c:pt>
                <c:pt idx="13">
                  <c:v>2</c:v>
                </c:pt>
                <c:pt idx="14">
                  <c:v>56</c:v>
                </c:pt>
              </c:numCache>
            </c:numRef>
          </c:xVal>
          <c:yVal>
            <c:numRef>
              <c:f>'Problem 5 Data'!$B$2:$B$16</c:f>
              <c:numCache>
                <c:formatCode>General</c:formatCode>
                <c:ptCount val="15"/>
                <c:pt idx="0">
                  <c:v>15</c:v>
                </c:pt>
                <c:pt idx="1">
                  <c:v>5</c:v>
                </c:pt>
                <c:pt idx="2">
                  <c:v>34</c:v>
                </c:pt>
                <c:pt idx="3">
                  <c:v>56</c:v>
                </c:pt>
                <c:pt idx="4">
                  <c:v>20</c:v>
                </c:pt>
                <c:pt idx="5">
                  <c:v>7</c:v>
                </c:pt>
                <c:pt idx="6">
                  <c:v>3</c:v>
                </c:pt>
                <c:pt idx="7">
                  <c:v>25</c:v>
                </c:pt>
                <c:pt idx="8">
                  <c:v>10</c:v>
                </c:pt>
                <c:pt idx="9">
                  <c:v>11</c:v>
                </c:pt>
                <c:pt idx="10">
                  <c:v>35</c:v>
                </c:pt>
                <c:pt idx="11">
                  <c:v>22</c:v>
                </c:pt>
                <c:pt idx="12">
                  <c:v>53</c:v>
                </c:pt>
                <c:pt idx="13">
                  <c:v>34</c:v>
                </c:pt>
                <c:pt idx="14">
                  <c:v>41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9BD-4CE9-AFA6-2EAB15B81B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49723487"/>
        <c:axId val="2049815135"/>
      </c:scatterChart>
      <c:valAx>
        <c:axId val="2049723487"/>
        <c:scaling>
          <c:orientation val="minMax"/>
        </c:scaling>
        <c:delete val="0"/>
        <c:axPos val="b"/>
        <c:title>
          <c:layout>
            <c:manualLayout>
              <c:xMode val="edge"/>
              <c:yMode val="edge"/>
              <c:x val="0.38641535433070867"/>
              <c:y val="0.9074766695829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815135"/>
        <c:crosses val="autoZero"/>
        <c:crossBetween val="midCat"/>
      </c:valAx>
      <c:valAx>
        <c:axId val="20498151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dk1">
                  <a:lumMod val="65000"/>
                  <a:lumOff val="35000"/>
                  <a:alpha val="2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97234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7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4762</xdr:colOff>
      <xdr:row>6</xdr:row>
      <xdr:rowOff>0</xdr:rowOff>
    </xdr:from>
    <xdr:to>
      <xdr:col>10</xdr:col>
      <xdr:colOff>385762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84809B2-BBBD-498F-9818-C1699D47FB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10</xdr:col>
      <xdr:colOff>381000</xdr:colOff>
      <xdr:row>17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6268297-C4B9-4941-A17F-FB77634451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14287</xdr:colOff>
      <xdr:row>8</xdr:row>
      <xdr:rowOff>9525</xdr:rowOff>
    </xdr:from>
    <xdr:to>
      <xdr:col>10</xdr:col>
      <xdr:colOff>395287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789927-BEAA-43E6-8A10-A0EED7B6A6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7937</xdr:colOff>
      <xdr:row>8</xdr:row>
      <xdr:rowOff>9525</xdr:rowOff>
    </xdr:from>
    <xdr:to>
      <xdr:col>10</xdr:col>
      <xdr:colOff>373062</xdr:colOff>
      <xdr:row>18</xdr:row>
      <xdr:rowOff>53975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7E82D2D-A1A5-4133-8E89-F1F0334D52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833437</xdr:colOff>
      <xdr:row>7</xdr:row>
      <xdr:rowOff>0</xdr:rowOff>
    </xdr:from>
    <xdr:to>
      <xdr:col>10</xdr:col>
      <xdr:colOff>376237</xdr:colOff>
      <xdr:row>17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E61EBD8-72D8-4F9F-AAA8-A59B82B379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2"/>
  <sheetViews>
    <sheetView workbookViewId="0">
      <selection activeCell="E24" sqref="E24"/>
    </sheetView>
  </sheetViews>
  <sheetFormatPr defaultColWidth="11" defaultRowHeight="15.75" x14ac:dyDescent="0.25"/>
  <cols>
    <col min="2" max="2" width="14.375" customWidth="1"/>
  </cols>
  <sheetData>
    <row r="1" spans="1:7" ht="21" x14ac:dyDescent="0.35">
      <c r="A1" s="2" t="s">
        <v>0</v>
      </c>
      <c r="B1" s="3" t="s">
        <v>1</v>
      </c>
    </row>
    <row r="2" spans="1:7" ht="21" x14ac:dyDescent="0.35">
      <c r="A2" s="1">
        <v>50</v>
      </c>
      <c r="B2" s="1">
        <v>7</v>
      </c>
      <c r="E2" t="s">
        <v>9</v>
      </c>
      <c r="F2" t="s">
        <v>10</v>
      </c>
      <c r="G2" s="12">
        <f>AVERAGE(A2:A11,B2:B11)</f>
        <v>468.41499999999996</v>
      </c>
    </row>
    <row r="3" spans="1:7" ht="21" x14ac:dyDescent="0.35">
      <c r="A3" s="1">
        <v>50</v>
      </c>
      <c r="B3" s="1">
        <v>7.5</v>
      </c>
      <c r="F3" t="s">
        <v>11</v>
      </c>
      <c r="G3" s="12">
        <f>STDEV(A2:A11,B2:B11)</f>
        <v>674.14506659604763</v>
      </c>
    </row>
    <row r="4" spans="1:7" ht="21" x14ac:dyDescent="0.35">
      <c r="A4" s="1">
        <v>100</v>
      </c>
      <c r="B4" s="1">
        <v>12.8</v>
      </c>
      <c r="E4" t="s">
        <v>13</v>
      </c>
      <c r="F4" t="s">
        <v>12</v>
      </c>
      <c r="G4" s="12">
        <f>CORREL(A2:A11,B2:B11)</f>
        <v>0.99993923180987998</v>
      </c>
    </row>
    <row r="5" spans="1:7" ht="21" x14ac:dyDescent="0.35">
      <c r="A5" s="1">
        <v>200</v>
      </c>
      <c r="B5" s="1">
        <v>24</v>
      </c>
      <c r="E5" t="s">
        <v>14</v>
      </c>
      <c r="F5" t="s">
        <v>15</v>
      </c>
    </row>
    <row r="6" spans="1:7" ht="21" x14ac:dyDescent="0.35">
      <c r="A6" s="1">
        <v>400</v>
      </c>
      <c r="B6" s="1">
        <v>47</v>
      </c>
      <c r="F6" t="s">
        <v>16</v>
      </c>
    </row>
    <row r="7" spans="1:7" ht="21" x14ac:dyDescent="0.35">
      <c r="A7" s="1">
        <v>800</v>
      </c>
      <c r="B7" s="1">
        <v>93</v>
      </c>
      <c r="E7" t="s">
        <v>17</v>
      </c>
    </row>
    <row r="8" spans="1:7" ht="21" x14ac:dyDescent="0.35">
      <c r="A8" s="1">
        <v>1200</v>
      </c>
      <c r="B8" s="1">
        <v>138</v>
      </c>
    </row>
    <row r="9" spans="1:7" ht="21" x14ac:dyDescent="0.35">
      <c r="A9" s="1">
        <v>1600</v>
      </c>
      <c r="B9" s="1">
        <v>183</v>
      </c>
    </row>
    <row r="10" spans="1:7" ht="21" x14ac:dyDescent="0.35">
      <c r="A10" s="1">
        <v>2000</v>
      </c>
      <c r="B10" s="1">
        <v>230</v>
      </c>
    </row>
    <row r="11" spans="1:7" ht="21" x14ac:dyDescent="0.35">
      <c r="A11" s="1">
        <v>2000</v>
      </c>
      <c r="B11" s="1">
        <v>226</v>
      </c>
    </row>
    <row r="20" spans="5:7" x14ac:dyDescent="0.25">
      <c r="E20" t="s">
        <v>18</v>
      </c>
      <c r="F20" s="14">
        <v>2300</v>
      </c>
      <c r="G20" s="13">
        <f>0.1133*(F20)+1.6571</f>
        <v>262.24709999999999</v>
      </c>
    </row>
    <row r="21" spans="5:7" x14ac:dyDescent="0.25">
      <c r="F21" s="14">
        <v>25</v>
      </c>
      <c r="G21" s="13">
        <f t="shared" ref="G21:G22" si="0">0.1133*(F21)+1.6571</f>
        <v>4.4896000000000003</v>
      </c>
    </row>
    <row r="22" spans="5:7" x14ac:dyDescent="0.25">
      <c r="F22" s="14">
        <v>226</v>
      </c>
      <c r="G22" s="13">
        <f t="shared" si="0"/>
        <v>27.262899999999998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1"/>
  <sheetViews>
    <sheetView zoomScaleNormal="100" workbookViewId="0">
      <selection activeCell="J24" sqref="J24"/>
    </sheetView>
  </sheetViews>
  <sheetFormatPr defaultColWidth="11" defaultRowHeight="15.75" x14ac:dyDescent="0.25"/>
  <cols>
    <col min="1" max="1" width="13" customWidth="1"/>
    <col min="2" max="2" width="12.375" customWidth="1"/>
  </cols>
  <sheetData>
    <row r="1" spans="1:7" ht="21" x14ac:dyDescent="0.35">
      <c r="A1" s="4" t="s">
        <v>2</v>
      </c>
      <c r="B1" s="5" t="s">
        <v>3</v>
      </c>
    </row>
    <row r="2" spans="1:7" ht="21" x14ac:dyDescent="0.35">
      <c r="A2" s="1">
        <v>31144</v>
      </c>
      <c r="B2" s="1">
        <v>1029</v>
      </c>
    </row>
    <row r="3" spans="1:7" ht="21" x14ac:dyDescent="0.35">
      <c r="A3" s="1">
        <v>47951</v>
      </c>
      <c r="B3" s="1">
        <v>934</v>
      </c>
      <c r="E3" t="s">
        <v>9</v>
      </c>
      <c r="F3" t="s">
        <v>10</v>
      </c>
      <c r="G3">
        <f>AVERAGE(A2:A51,B2:B51)</f>
        <v>17987</v>
      </c>
    </row>
    <row r="4" spans="1:7" ht="21" x14ac:dyDescent="0.35">
      <c r="A4" s="1">
        <v>32175</v>
      </c>
      <c r="B4" s="1">
        <v>944</v>
      </c>
      <c r="F4" t="s">
        <v>11</v>
      </c>
      <c r="G4" s="15">
        <f>STDEV(A2:A51,B2:B51)</f>
        <v>17609.542057496768</v>
      </c>
    </row>
    <row r="5" spans="1:7" ht="21" x14ac:dyDescent="0.35">
      <c r="A5" s="1">
        <v>29934</v>
      </c>
      <c r="B5" s="1">
        <v>1005</v>
      </c>
      <c r="E5" t="s">
        <v>13</v>
      </c>
      <c r="F5" t="s">
        <v>12</v>
      </c>
      <c r="G5" s="12">
        <f>CORREL(A2:A51,B2:B51)</f>
        <v>-0.46879974253709594</v>
      </c>
    </row>
    <row r="6" spans="1:7" ht="21" x14ac:dyDescent="0.35">
      <c r="A6" s="1">
        <v>41078</v>
      </c>
      <c r="B6" s="1">
        <v>902</v>
      </c>
      <c r="E6" t="s">
        <v>14</v>
      </c>
      <c r="F6" t="s">
        <v>19</v>
      </c>
    </row>
    <row r="7" spans="1:7" ht="21" x14ac:dyDescent="0.35">
      <c r="A7" s="1">
        <v>34571</v>
      </c>
      <c r="B7" s="1">
        <v>986</v>
      </c>
      <c r="F7" t="s">
        <v>20</v>
      </c>
    </row>
    <row r="8" spans="1:7" ht="21" x14ac:dyDescent="0.35">
      <c r="A8" s="1">
        <v>50045</v>
      </c>
      <c r="B8" s="1">
        <v>908</v>
      </c>
      <c r="E8" t="s">
        <v>17</v>
      </c>
    </row>
    <row r="9" spans="1:7" ht="21" x14ac:dyDescent="0.35">
      <c r="A9" s="1">
        <v>39076</v>
      </c>
      <c r="B9" s="1">
        <v>897</v>
      </c>
    </row>
    <row r="10" spans="1:7" ht="21" x14ac:dyDescent="0.35">
      <c r="A10" s="1">
        <v>32588</v>
      </c>
      <c r="B10" s="1">
        <v>889</v>
      </c>
    </row>
    <row r="11" spans="1:7" ht="21" x14ac:dyDescent="0.35">
      <c r="A11" s="1">
        <v>32291</v>
      </c>
      <c r="B11" s="1">
        <v>854</v>
      </c>
    </row>
    <row r="12" spans="1:7" ht="21" x14ac:dyDescent="0.35">
      <c r="A12" s="1">
        <v>38518</v>
      </c>
      <c r="B12" s="1">
        <v>889</v>
      </c>
    </row>
    <row r="13" spans="1:7" ht="21" x14ac:dyDescent="0.35">
      <c r="A13" s="1">
        <v>29783</v>
      </c>
      <c r="B13" s="1">
        <v>956</v>
      </c>
    </row>
    <row r="14" spans="1:7" ht="21" x14ac:dyDescent="0.35">
      <c r="A14" s="1">
        <v>39431</v>
      </c>
      <c r="B14" s="1">
        <v>1048</v>
      </c>
    </row>
    <row r="15" spans="1:7" ht="21" x14ac:dyDescent="0.35">
      <c r="A15" s="1">
        <v>36785</v>
      </c>
      <c r="B15" s="1">
        <v>882</v>
      </c>
    </row>
    <row r="16" spans="1:7" ht="21" x14ac:dyDescent="0.35">
      <c r="A16" s="1">
        <v>31511</v>
      </c>
      <c r="B16" s="1">
        <v>1099</v>
      </c>
    </row>
    <row r="17" spans="1:7" ht="21" x14ac:dyDescent="0.35">
      <c r="A17" s="1">
        <v>34652</v>
      </c>
      <c r="B17" s="1">
        <v>1060</v>
      </c>
    </row>
    <row r="18" spans="1:7" ht="21" x14ac:dyDescent="0.35">
      <c r="A18" s="1">
        <v>32257</v>
      </c>
      <c r="B18" s="1">
        <v>999</v>
      </c>
    </row>
    <row r="19" spans="1:7" ht="21" x14ac:dyDescent="0.35">
      <c r="A19" s="1">
        <v>26461</v>
      </c>
      <c r="B19" s="1">
        <v>1021</v>
      </c>
      <c r="E19" t="s">
        <v>18</v>
      </c>
      <c r="F19" s="17">
        <v>1100</v>
      </c>
      <c r="G19" s="16">
        <f>-0.0058*F19+1168.8</f>
        <v>1162.4199999999998</v>
      </c>
    </row>
    <row r="20" spans="1:7" ht="21" x14ac:dyDescent="0.35">
      <c r="A20" s="1">
        <v>31972</v>
      </c>
      <c r="B20" s="1">
        <v>896</v>
      </c>
      <c r="F20" s="17">
        <v>978</v>
      </c>
      <c r="G20" s="16">
        <f t="shared" ref="G20:G21" si="0">-0.0058*F20+1168.8</f>
        <v>1163.1276</v>
      </c>
    </row>
    <row r="21" spans="1:7" ht="21" x14ac:dyDescent="0.35">
      <c r="A21" s="1">
        <v>40661</v>
      </c>
      <c r="B21" s="1">
        <v>909</v>
      </c>
      <c r="F21" s="17">
        <v>830</v>
      </c>
      <c r="G21" s="16">
        <f t="shared" si="0"/>
        <v>1163.9859999999999</v>
      </c>
    </row>
    <row r="22" spans="1:7" ht="21" x14ac:dyDescent="0.35">
      <c r="A22" s="1">
        <v>40795</v>
      </c>
      <c r="B22" s="1">
        <v>907</v>
      </c>
    </row>
    <row r="23" spans="1:7" ht="21" x14ac:dyDescent="0.35">
      <c r="A23" s="1">
        <v>41895</v>
      </c>
      <c r="B23" s="1">
        <v>1033</v>
      </c>
    </row>
    <row r="24" spans="1:7" ht="21" x14ac:dyDescent="0.35">
      <c r="A24" s="1">
        <v>35948</v>
      </c>
      <c r="B24" s="1">
        <v>1045</v>
      </c>
    </row>
    <row r="25" spans="1:7" ht="21" x14ac:dyDescent="0.35">
      <c r="A25" s="1">
        <v>26818</v>
      </c>
      <c r="B25" s="1">
        <v>1036</v>
      </c>
    </row>
    <row r="26" spans="1:7" ht="21" x14ac:dyDescent="0.35">
      <c r="A26" s="1">
        <v>31189</v>
      </c>
      <c r="B26" s="1">
        <v>1045</v>
      </c>
    </row>
    <row r="27" spans="1:7" ht="21" x14ac:dyDescent="0.35">
      <c r="A27" s="1">
        <v>28785</v>
      </c>
      <c r="B27" s="1">
        <v>1009</v>
      </c>
    </row>
    <row r="28" spans="1:7" ht="21" x14ac:dyDescent="0.35">
      <c r="A28" s="1">
        <v>30922</v>
      </c>
      <c r="B28" s="1">
        <v>1050</v>
      </c>
    </row>
    <row r="29" spans="1:7" ht="21" x14ac:dyDescent="0.35">
      <c r="A29" s="1">
        <v>34836</v>
      </c>
      <c r="B29" s="1">
        <v>917</v>
      </c>
    </row>
    <row r="30" spans="1:7" ht="21" x14ac:dyDescent="0.35">
      <c r="A30" s="1">
        <v>34729</v>
      </c>
      <c r="B30" s="1">
        <v>935</v>
      </c>
    </row>
    <row r="31" spans="1:7" ht="21" x14ac:dyDescent="0.35">
      <c r="A31" s="1">
        <v>46087</v>
      </c>
      <c r="B31" s="1">
        <v>898</v>
      </c>
    </row>
    <row r="32" spans="1:7" ht="21" x14ac:dyDescent="0.35">
      <c r="A32" s="1">
        <v>28493</v>
      </c>
      <c r="B32" s="1">
        <v>1015</v>
      </c>
    </row>
    <row r="33" spans="1:2" ht="21" x14ac:dyDescent="0.35">
      <c r="A33" s="1">
        <v>47612</v>
      </c>
      <c r="B33" s="1">
        <v>892</v>
      </c>
    </row>
    <row r="34" spans="1:2" ht="21" x14ac:dyDescent="0.35">
      <c r="A34" s="1">
        <v>30793</v>
      </c>
      <c r="B34" s="1">
        <v>865</v>
      </c>
    </row>
    <row r="35" spans="1:2" ht="21" x14ac:dyDescent="0.35">
      <c r="A35" s="1">
        <v>26327</v>
      </c>
      <c r="B35" s="1">
        <v>1107</v>
      </c>
    </row>
    <row r="36" spans="1:2" ht="21" x14ac:dyDescent="0.35">
      <c r="A36" s="1">
        <v>36802</v>
      </c>
      <c r="B36" s="1">
        <v>975</v>
      </c>
    </row>
    <row r="37" spans="1:2" ht="21" x14ac:dyDescent="0.35">
      <c r="A37" s="1">
        <v>28172</v>
      </c>
      <c r="B37" s="1">
        <v>1027</v>
      </c>
    </row>
    <row r="38" spans="1:2" ht="21" x14ac:dyDescent="0.35">
      <c r="A38" s="1">
        <v>38555</v>
      </c>
      <c r="B38" s="1">
        <v>947</v>
      </c>
    </row>
    <row r="39" spans="1:2" ht="21" x14ac:dyDescent="0.35">
      <c r="A39" s="1">
        <v>44516</v>
      </c>
      <c r="B39" s="1">
        <v>880</v>
      </c>
    </row>
    <row r="40" spans="1:2" ht="21" x14ac:dyDescent="0.35">
      <c r="A40" s="1">
        <v>40729</v>
      </c>
      <c r="B40" s="1">
        <v>888</v>
      </c>
    </row>
    <row r="41" spans="1:2" ht="21" x14ac:dyDescent="0.35">
      <c r="A41" s="1">
        <v>30279</v>
      </c>
      <c r="B41" s="1">
        <v>844</v>
      </c>
    </row>
    <row r="42" spans="1:2" ht="21" x14ac:dyDescent="0.35">
      <c r="A42" s="1">
        <v>25994</v>
      </c>
      <c r="B42" s="1">
        <v>1068</v>
      </c>
    </row>
    <row r="43" spans="1:2" ht="21" x14ac:dyDescent="0.35">
      <c r="A43" s="1">
        <v>32477</v>
      </c>
      <c r="B43" s="1">
        <v>1040</v>
      </c>
    </row>
    <row r="44" spans="1:2" ht="21" x14ac:dyDescent="0.35">
      <c r="A44" s="1">
        <v>39223</v>
      </c>
      <c r="B44" s="1">
        <v>893</v>
      </c>
    </row>
    <row r="45" spans="1:2" ht="21" x14ac:dyDescent="0.35">
      <c r="A45" s="1">
        <v>29082</v>
      </c>
      <c r="B45" s="1">
        <v>1076</v>
      </c>
    </row>
    <row r="46" spans="1:2" ht="21" x14ac:dyDescent="0.35">
      <c r="A46" s="1">
        <v>35406</v>
      </c>
      <c r="B46" s="1">
        <v>901</v>
      </c>
    </row>
    <row r="47" spans="1:2" ht="21" x14ac:dyDescent="0.35">
      <c r="A47" s="1">
        <v>33987</v>
      </c>
      <c r="B47" s="1">
        <v>896</v>
      </c>
    </row>
    <row r="48" spans="1:2" ht="21" x14ac:dyDescent="0.35">
      <c r="A48" s="1">
        <v>36151</v>
      </c>
      <c r="B48" s="1">
        <v>937</v>
      </c>
    </row>
    <row r="49" spans="1:2" ht="21" x14ac:dyDescent="0.35">
      <c r="A49" s="1">
        <v>31944</v>
      </c>
      <c r="B49" s="1">
        <v>932</v>
      </c>
    </row>
    <row r="50" spans="1:2" ht="21" x14ac:dyDescent="0.35">
      <c r="A50" s="1">
        <v>37746</v>
      </c>
      <c r="B50" s="1">
        <v>1073</v>
      </c>
    </row>
    <row r="51" spans="1:2" ht="21" x14ac:dyDescent="0.35">
      <c r="A51" s="1">
        <v>31285</v>
      </c>
      <c r="B51" s="1">
        <v>1001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6"/>
  <sheetViews>
    <sheetView workbookViewId="0">
      <selection activeCell="L22" sqref="L22"/>
    </sheetView>
  </sheetViews>
  <sheetFormatPr defaultColWidth="11" defaultRowHeight="15.75" x14ac:dyDescent="0.25"/>
  <sheetData>
    <row r="1" spans="1:7" ht="21" x14ac:dyDescent="0.35">
      <c r="A1" s="6" t="s">
        <v>4</v>
      </c>
      <c r="B1" s="7" t="s">
        <v>5</v>
      </c>
    </row>
    <row r="2" spans="1:7" ht="21" x14ac:dyDescent="0.35">
      <c r="A2" s="1">
        <v>142</v>
      </c>
      <c r="B2" s="1">
        <v>172</v>
      </c>
    </row>
    <row r="3" spans="1:7" ht="21" x14ac:dyDescent="0.35">
      <c r="A3" s="1">
        <v>135</v>
      </c>
      <c r="B3" s="1">
        <v>173</v>
      </c>
      <c r="E3" t="s">
        <v>9</v>
      </c>
      <c r="F3" t="s">
        <v>10</v>
      </c>
      <c r="G3" s="12">
        <f>AVERAGE(A2:A46,B2:B46)</f>
        <v>162.86666666666667</v>
      </c>
    </row>
    <row r="4" spans="1:7" ht="21" x14ac:dyDescent="0.35">
      <c r="A4" s="1">
        <v>76</v>
      </c>
      <c r="B4" s="1">
        <v>172</v>
      </c>
      <c r="F4" t="s">
        <v>11</v>
      </c>
      <c r="G4" s="12">
        <f>STDEV(A2:A46,B2:B46)</f>
        <v>61.096019473494486</v>
      </c>
    </row>
    <row r="5" spans="1:7" ht="21" x14ac:dyDescent="0.35">
      <c r="A5" s="1">
        <v>201</v>
      </c>
      <c r="B5" s="1">
        <v>149</v>
      </c>
      <c r="E5" t="s">
        <v>13</v>
      </c>
      <c r="F5" t="s">
        <v>12</v>
      </c>
      <c r="G5" s="12">
        <f>CORREL(A2:A46,B2:B46)</f>
        <v>3.1927073345252348E-2</v>
      </c>
    </row>
    <row r="6" spans="1:7" ht="21" x14ac:dyDescent="0.35">
      <c r="A6" s="1">
        <v>247</v>
      </c>
      <c r="B6" s="1">
        <v>161</v>
      </c>
      <c r="E6" t="s">
        <v>14</v>
      </c>
      <c r="F6" t="s">
        <v>21</v>
      </c>
    </row>
    <row r="7" spans="1:7" ht="21" x14ac:dyDescent="0.35">
      <c r="A7" s="1">
        <v>82</v>
      </c>
      <c r="B7" s="1">
        <v>67</v>
      </c>
      <c r="F7" t="s">
        <v>22</v>
      </c>
    </row>
    <row r="8" spans="1:7" ht="21" x14ac:dyDescent="0.35">
      <c r="A8" s="1">
        <v>82</v>
      </c>
      <c r="B8" s="1">
        <v>201</v>
      </c>
      <c r="F8" t="s">
        <v>23</v>
      </c>
    </row>
    <row r="9" spans="1:7" ht="21" x14ac:dyDescent="0.35">
      <c r="A9" s="1">
        <v>244</v>
      </c>
      <c r="B9" s="1">
        <v>205</v>
      </c>
      <c r="E9" t="s">
        <v>17</v>
      </c>
    </row>
    <row r="10" spans="1:7" ht="21" x14ac:dyDescent="0.35">
      <c r="A10" s="1">
        <v>255</v>
      </c>
      <c r="B10" s="1">
        <v>182</v>
      </c>
    </row>
    <row r="11" spans="1:7" ht="21" x14ac:dyDescent="0.35">
      <c r="A11" s="1">
        <v>274</v>
      </c>
      <c r="B11" s="1">
        <v>79</v>
      </c>
    </row>
    <row r="12" spans="1:7" ht="21" x14ac:dyDescent="0.35">
      <c r="A12" s="1">
        <v>189</v>
      </c>
      <c r="B12" s="1">
        <v>59</v>
      </c>
    </row>
    <row r="13" spans="1:7" ht="21" x14ac:dyDescent="0.35">
      <c r="A13" s="1">
        <v>108</v>
      </c>
      <c r="B13" s="1">
        <v>196</v>
      </c>
    </row>
    <row r="14" spans="1:7" ht="21" x14ac:dyDescent="0.35">
      <c r="A14" s="1">
        <v>92</v>
      </c>
      <c r="B14" s="1">
        <v>91</v>
      </c>
    </row>
    <row r="15" spans="1:7" ht="21" x14ac:dyDescent="0.35">
      <c r="A15" s="1">
        <v>147</v>
      </c>
      <c r="B15" s="1">
        <v>159</v>
      </c>
    </row>
    <row r="16" spans="1:7" ht="21" x14ac:dyDescent="0.35">
      <c r="A16" s="1">
        <v>199</v>
      </c>
      <c r="B16" s="1">
        <v>192</v>
      </c>
    </row>
    <row r="17" spans="1:6" ht="21" x14ac:dyDescent="0.35">
      <c r="A17" s="1">
        <v>108</v>
      </c>
      <c r="B17" s="1">
        <v>68</v>
      </c>
    </row>
    <row r="18" spans="1:6" ht="21" x14ac:dyDescent="0.35">
      <c r="A18" s="1">
        <v>254</v>
      </c>
      <c r="B18" s="1">
        <v>166</v>
      </c>
    </row>
    <row r="19" spans="1:6" ht="21" x14ac:dyDescent="0.35">
      <c r="A19" s="1">
        <v>103</v>
      </c>
      <c r="B19" s="1">
        <v>75</v>
      </c>
    </row>
    <row r="20" spans="1:6" ht="21" x14ac:dyDescent="0.35">
      <c r="A20" s="1">
        <v>159</v>
      </c>
      <c r="B20" s="1">
        <v>139</v>
      </c>
      <c r="E20" t="s">
        <v>18</v>
      </c>
      <c r="F20" t="s">
        <v>24</v>
      </c>
    </row>
    <row r="21" spans="1:6" ht="21" x14ac:dyDescent="0.35">
      <c r="A21" s="1">
        <v>257</v>
      </c>
      <c r="B21" s="1">
        <v>174</v>
      </c>
      <c r="F21" t="s">
        <v>25</v>
      </c>
    </row>
    <row r="22" spans="1:6" ht="21" x14ac:dyDescent="0.35">
      <c r="A22" s="1">
        <v>258</v>
      </c>
      <c r="B22" s="1">
        <v>162</v>
      </c>
      <c r="F22" t="s">
        <v>26</v>
      </c>
    </row>
    <row r="23" spans="1:6" ht="21" x14ac:dyDescent="0.35">
      <c r="A23" s="1">
        <v>81</v>
      </c>
      <c r="B23" s="1">
        <v>174</v>
      </c>
    </row>
    <row r="24" spans="1:6" ht="21" x14ac:dyDescent="0.35">
      <c r="A24" s="1">
        <v>284</v>
      </c>
      <c r="B24" s="1">
        <v>199</v>
      </c>
    </row>
    <row r="25" spans="1:6" ht="21" x14ac:dyDescent="0.35">
      <c r="A25" s="1">
        <v>293</v>
      </c>
      <c r="B25" s="1">
        <v>57</v>
      </c>
    </row>
    <row r="26" spans="1:6" ht="21" x14ac:dyDescent="0.35">
      <c r="A26" s="1">
        <v>94</v>
      </c>
      <c r="B26" s="1">
        <v>136</v>
      </c>
    </row>
    <row r="27" spans="1:6" ht="21" x14ac:dyDescent="0.35">
      <c r="A27" s="1">
        <v>290</v>
      </c>
      <c r="B27" s="1">
        <v>123</v>
      </c>
    </row>
    <row r="28" spans="1:6" ht="21" x14ac:dyDescent="0.35">
      <c r="A28" s="1">
        <v>77</v>
      </c>
      <c r="B28" s="1">
        <v>156</v>
      </c>
    </row>
    <row r="29" spans="1:6" ht="21" x14ac:dyDescent="0.35">
      <c r="A29" s="1">
        <v>115</v>
      </c>
      <c r="B29" s="1">
        <v>117</v>
      </c>
    </row>
    <row r="30" spans="1:6" ht="21" x14ac:dyDescent="0.35">
      <c r="A30" s="1">
        <v>183</v>
      </c>
      <c r="B30" s="1">
        <v>154</v>
      </c>
    </row>
    <row r="31" spans="1:6" ht="21" x14ac:dyDescent="0.35">
      <c r="A31" s="1">
        <v>261</v>
      </c>
      <c r="B31" s="1">
        <v>192</v>
      </c>
    </row>
    <row r="32" spans="1:6" ht="21" x14ac:dyDescent="0.35">
      <c r="A32" s="1">
        <v>169</v>
      </c>
      <c r="B32" s="1">
        <v>175</v>
      </c>
    </row>
    <row r="33" spans="1:2" ht="21" x14ac:dyDescent="0.35">
      <c r="A33" s="1">
        <v>167</v>
      </c>
      <c r="B33" s="1">
        <v>90</v>
      </c>
    </row>
    <row r="34" spans="1:2" ht="21" x14ac:dyDescent="0.35">
      <c r="A34" s="1">
        <v>146</v>
      </c>
      <c r="B34" s="1">
        <v>212</v>
      </c>
    </row>
    <row r="35" spans="1:2" ht="21" x14ac:dyDescent="0.35">
      <c r="A35" s="1">
        <v>184</v>
      </c>
      <c r="B35" s="1">
        <v>168</v>
      </c>
    </row>
    <row r="36" spans="1:2" ht="21" x14ac:dyDescent="0.35">
      <c r="A36" s="1">
        <v>126</v>
      </c>
      <c r="B36" s="1">
        <v>85</v>
      </c>
    </row>
    <row r="37" spans="1:2" ht="21" x14ac:dyDescent="0.35">
      <c r="A37" s="1">
        <v>242</v>
      </c>
      <c r="B37" s="1">
        <v>132</v>
      </c>
    </row>
    <row r="38" spans="1:2" ht="21" x14ac:dyDescent="0.35">
      <c r="A38" s="1">
        <v>156</v>
      </c>
      <c r="B38" s="1">
        <v>203</v>
      </c>
    </row>
    <row r="39" spans="1:2" ht="21" x14ac:dyDescent="0.35">
      <c r="A39" s="1">
        <v>171</v>
      </c>
      <c r="B39" s="1">
        <v>202</v>
      </c>
    </row>
    <row r="40" spans="1:2" ht="21" x14ac:dyDescent="0.35">
      <c r="A40" s="1">
        <v>236</v>
      </c>
      <c r="B40" s="1">
        <v>58</v>
      </c>
    </row>
    <row r="41" spans="1:2" ht="21" x14ac:dyDescent="0.35">
      <c r="A41" s="1">
        <v>264</v>
      </c>
      <c r="B41" s="1">
        <v>151</v>
      </c>
    </row>
    <row r="42" spans="1:2" ht="21" x14ac:dyDescent="0.35">
      <c r="A42" s="1">
        <v>155</v>
      </c>
      <c r="B42" s="1">
        <v>73</v>
      </c>
    </row>
    <row r="43" spans="1:2" ht="21" x14ac:dyDescent="0.35">
      <c r="A43" s="1">
        <v>202</v>
      </c>
      <c r="B43" s="1">
        <v>227</v>
      </c>
    </row>
    <row r="44" spans="1:2" ht="21" x14ac:dyDescent="0.35">
      <c r="A44" s="1">
        <v>151</v>
      </c>
      <c r="B44" s="1">
        <v>193</v>
      </c>
    </row>
    <row r="45" spans="1:2" ht="21" x14ac:dyDescent="0.35">
      <c r="A45" s="1">
        <v>238</v>
      </c>
      <c r="B45" s="1">
        <v>94</v>
      </c>
    </row>
    <row r="46" spans="1:2" ht="21" x14ac:dyDescent="0.35">
      <c r="A46" s="1">
        <v>174</v>
      </c>
      <c r="B46" s="1">
        <v>174</v>
      </c>
    </row>
  </sheetData>
  <pageMargins left="0.75" right="0.75" top="1" bottom="1" header="0.5" footer="0.5"/>
  <pageSetup orientation="portrait" horizontalDpi="4294967292" verticalDpi="4294967292"/>
  <drawing r:id="rId1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0"/>
  <sheetViews>
    <sheetView zoomScaleNormal="100" workbookViewId="0">
      <selection activeCell="I23" sqref="I23"/>
    </sheetView>
  </sheetViews>
  <sheetFormatPr defaultColWidth="11" defaultRowHeight="15.75" x14ac:dyDescent="0.25"/>
  <sheetData>
    <row r="1" spans="1:7" ht="21" x14ac:dyDescent="0.35">
      <c r="A1" s="8" t="s">
        <v>6</v>
      </c>
      <c r="B1" s="9" t="s">
        <v>7</v>
      </c>
    </row>
    <row r="2" spans="1:7" ht="21" x14ac:dyDescent="0.35">
      <c r="A2" s="1">
        <v>59</v>
      </c>
      <c r="B2" s="1">
        <v>2</v>
      </c>
    </row>
    <row r="3" spans="1:7" ht="21" x14ac:dyDescent="0.35">
      <c r="A3" s="1">
        <v>61</v>
      </c>
      <c r="B3" s="1">
        <v>5</v>
      </c>
    </row>
    <row r="4" spans="1:7" ht="21" x14ac:dyDescent="0.35">
      <c r="A4" s="1">
        <v>60</v>
      </c>
      <c r="B4" s="1">
        <v>3</v>
      </c>
      <c r="E4" t="s">
        <v>9</v>
      </c>
      <c r="F4" t="s">
        <v>10</v>
      </c>
      <c r="G4" s="12">
        <f>AVERAGE(A2:A40,B2:B40)</f>
        <v>30.93205128205128</v>
      </c>
    </row>
    <row r="5" spans="1:7" ht="21" x14ac:dyDescent="0.35">
      <c r="A5" s="1">
        <v>64.2</v>
      </c>
      <c r="B5" s="1">
        <v>3</v>
      </c>
      <c r="F5" t="s">
        <v>11</v>
      </c>
      <c r="G5" s="12">
        <f>STDEV(A2:A40,B2:B40)</f>
        <v>27.012817994376967</v>
      </c>
    </row>
    <row r="6" spans="1:7" ht="21" x14ac:dyDescent="0.35">
      <c r="A6" s="1">
        <v>66</v>
      </c>
      <c r="B6" s="1">
        <v>2</v>
      </c>
      <c r="E6" t="s">
        <v>13</v>
      </c>
      <c r="F6" s="18" t="s">
        <v>12</v>
      </c>
      <c r="G6" s="12">
        <f>CORREL(A2:A40,B2:B40)</f>
        <v>-0.20842999673168597</v>
      </c>
    </row>
    <row r="7" spans="1:7" ht="21" x14ac:dyDescent="0.35">
      <c r="A7" s="1">
        <v>57.2</v>
      </c>
      <c r="B7" s="1">
        <v>4</v>
      </c>
      <c r="E7" t="s">
        <v>14</v>
      </c>
      <c r="F7" t="s">
        <v>27</v>
      </c>
    </row>
    <row r="8" spans="1:7" ht="21" x14ac:dyDescent="0.35">
      <c r="A8" s="1">
        <v>65.099999999999994</v>
      </c>
      <c r="B8" s="1">
        <v>2</v>
      </c>
      <c r="F8" t="s">
        <v>28</v>
      </c>
    </row>
    <row r="9" spans="1:7" ht="21" x14ac:dyDescent="0.35">
      <c r="A9" s="1">
        <v>55</v>
      </c>
      <c r="B9" s="1">
        <v>3</v>
      </c>
      <c r="E9" t="s">
        <v>17</v>
      </c>
    </row>
    <row r="10" spans="1:7" ht="21" x14ac:dyDescent="0.35">
      <c r="A10" s="1">
        <v>72.2</v>
      </c>
      <c r="B10" s="1">
        <v>4</v>
      </c>
    </row>
    <row r="11" spans="1:7" ht="21" x14ac:dyDescent="0.35">
      <c r="A11" s="1">
        <v>57</v>
      </c>
      <c r="B11" s="1">
        <v>2</v>
      </c>
    </row>
    <row r="12" spans="1:7" ht="21" x14ac:dyDescent="0.35">
      <c r="A12" s="1">
        <v>61.2</v>
      </c>
      <c r="B12" s="1">
        <v>1</v>
      </c>
    </row>
    <row r="13" spans="1:7" ht="21" x14ac:dyDescent="0.35">
      <c r="A13" s="1">
        <v>60</v>
      </c>
      <c r="B13" s="1">
        <v>6</v>
      </c>
    </row>
    <row r="14" spans="1:7" ht="21" x14ac:dyDescent="0.35">
      <c r="A14" s="1">
        <v>54.2</v>
      </c>
      <c r="B14" s="1">
        <v>4</v>
      </c>
    </row>
    <row r="15" spans="1:7" ht="21" x14ac:dyDescent="0.35">
      <c r="A15" s="1">
        <v>52.2</v>
      </c>
      <c r="B15" s="1">
        <v>6</v>
      </c>
    </row>
    <row r="16" spans="1:7" ht="21" x14ac:dyDescent="0.35">
      <c r="A16" s="1">
        <v>55.2</v>
      </c>
      <c r="B16" s="1">
        <v>4</v>
      </c>
    </row>
    <row r="17" spans="1:7" ht="21" x14ac:dyDescent="0.35">
      <c r="A17" s="1">
        <v>57.1</v>
      </c>
      <c r="B17" s="1">
        <v>5</v>
      </c>
    </row>
    <row r="18" spans="1:7" ht="21" x14ac:dyDescent="0.35">
      <c r="A18" s="1">
        <v>56.1</v>
      </c>
      <c r="B18" s="1">
        <v>3</v>
      </c>
    </row>
    <row r="19" spans="1:7" ht="21" x14ac:dyDescent="0.35">
      <c r="A19" s="1">
        <v>55.2</v>
      </c>
      <c r="B19" s="1">
        <v>6</v>
      </c>
    </row>
    <row r="20" spans="1:7" ht="21" x14ac:dyDescent="0.35">
      <c r="A20" s="1">
        <v>55.1</v>
      </c>
      <c r="B20" s="1">
        <v>8</v>
      </c>
      <c r="E20" t="s">
        <v>18</v>
      </c>
      <c r="F20" s="19">
        <v>50</v>
      </c>
      <c r="G20" s="16">
        <f>-0.065*F20+8.1904</f>
        <v>4.9404000000000003</v>
      </c>
    </row>
    <row r="21" spans="1:7" ht="21" x14ac:dyDescent="0.35">
      <c r="A21" s="1">
        <v>44.2</v>
      </c>
      <c r="B21" s="1">
        <v>6</v>
      </c>
      <c r="F21" s="19">
        <v>63</v>
      </c>
      <c r="G21" s="16">
        <f t="shared" ref="G21:G22" si="0">-0.065*F21+8.1904</f>
        <v>4.0954000000000006</v>
      </c>
    </row>
    <row r="22" spans="1:7" ht="21" x14ac:dyDescent="0.35">
      <c r="A22" s="1">
        <v>57</v>
      </c>
      <c r="B22" s="1">
        <v>3</v>
      </c>
      <c r="F22" s="19">
        <v>70</v>
      </c>
      <c r="G22" s="16">
        <f t="shared" si="0"/>
        <v>3.6404000000000005</v>
      </c>
    </row>
    <row r="23" spans="1:7" ht="21" x14ac:dyDescent="0.35">
      <c r="A23" s="1">
        <v>56</v>
      </c>
      <c r="B23" s="1">
        <v>2</v>
      </c>
    </row>
    <row r="24" spans="1:7" ht="21" x14ac:dyDescent="0.35">
      <c r="A24" s="1">
        <v>58.2</v>
      </c>
      <c r="B24" s="1">
        <v>6</v>
      </c>
    </row>
    <row r="25" spans="1:7" ht="21" x14ac:dyDescent="0.35">
      <c r="A25" s="1">
        <v>58</v>
      </c>
      <c r="B25" s="1">
        <v>8</v>
      </c>
    </row>
    <row r="26" spans="1:7" ht="21" x14ac:dyDescent="0.35">
      <c r="A26" s="1">
        <v>45.1</v>
      </c>
      <c r="B26" s="1">
        <v>3</v>
      </c>
    </row>
    <row r="27" spans="1:7" ht="21" x14ac:dyDescent="0.35">
      <c r="A27" s="1">
        <v>60.1</v>
      </c>
      <c r="B27" s="1">
        <v>4</v>
      </c>
    </row>
    <row r="28" spans="1:7" ht="21" x14ac:dyDescent="0.35">
      <c r="A28" s="1">
        <v>66.099999999999994</v>
      </c>
      <c r="B28" s="1">
        <v>5</v>
      </c>
    </row>
    <row r="29" spans="1:7" ht="21" x14ac:dyDescent="0.35">
      <c r="A29" s="1">
        <v>45</v>
      </c>
      <c r="B29" s="1">
        <v>8</v>
      </c>
    </row>
    <row r="30" spans="1:7" ht="21" x14ac:dyDescent="0.35">
      <c r="A30" s="1">
        <v>56.2</v>
      </c>
      <c r="B30" s="1">
        <v>6</v>
      </c>
    </row>
    <row r="31" spans="1:7" ht="21" x14ac:dyDescent="0.35">
      <c r="A31" s="1">
        <v>65.099999999999994</v>
      </c>
      <c r="B31" s="1">
        <v>8</v>
      </c>
    </row>
    <row r="32" spans="1:7" ht="21" x14ac:dyDescent="0.35">
      <c r="A32" s="1">
        <v>55.1</v>
      </c>
      <c r="B32" s="1">
        <v>6</v>
      </c>
    </row>
    <row r="33" spans="1:2" ht="21" x14ac:dyDescent="0.35">
      <c r="A33" s="1">
        <v>54.2</v>
      </c>
      <c r="B33" s="1">
        <v>6</v>
      </c>
    </row>
    <row r="34" spans="1:2" ht="21" x14ac:dyDescent="0.35">
      <c r="A34" s="1">
        <v>56.2</v>
      </c>
      <c r="B34" s="1">
        <v>4</v>
      </c>
    </row>
    <row r="35" spans="1:2" ht="21" x14ac:dyDescent="0.35">
      <c r="A35" s="1">
        <v>59</v>
      </c>
      <c r="B35" s="1">
        <v>7</v>
      </c>
    </row>
    <row r="36" spans="1:2" ht="21" x14ac:dyDescent="0.35">
      <c r="A36" s="1">
        <v>55</v>
      </c>
      <c r="B36" s="1">
        <v>4</v>
      </c>
    </row>
    <row r="37" spans="1:2" ht="21" x14ac:dyDescent="0.35">
      <c r="A37" s="1">
        <v>54.9</v>
      </c>
      <c r="B37" s="1">
        <v>3</v>
      </c>
    </row>
    <row r="38" spans="1:2" ht="21" x14ac:dyDescent="0.35">
      <c r="A38" s="1">
        <v>52</v>
      </c>
      <c r="B38" s="1">
        <v>4</v>
      </c>
    </row>
    <row r="39" spans="1:2" ht="21" x14ac:dyDescent="0.35">
      <c r="A39" s="1">
        <v>49.1</v>
      </c>
      <c r="B39" s="1">
        <v>4</v>
      </c>
    </row>
    <row r="40" spans="1:2" ht="21" x14ac:dyDescent="0.35">
      <c r="A40" s="1">
        <v>69.2</v>
      </c>
      <c r="B40" s="1">
        <v>4</v>
      </c>
    </row>
  </sheetData>
  <pageMargins left="0.75" right="0.75" top="1" bottom="1" header="0.5" footer="0.5"/>
  <pageSetup orientation="portrait" r:id="rId1"/>
  <drawing r:id="rId2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2"/>
  <sheetViews>
    <sheetView tabSelected="1" workbookViewId="0">
      <selection activeCell="I23" sqref="I23"/>
    </sheetView>
  </sheetViews>
  <sheetFormatPr defaultColWidth="11" defaultRowHeight="15.75" x14ac:dyDescent="0.25"/>
  <sheetData>
    <row r="1" spans="1:7" ht="21" x14ac:dyDescent="0.35">
      <c r="A1" s="10" t="s">
        <v>4</v>
      </c>
      <c r="B1" s="11" t="s">
        <v>8</v>
      </c>
    </row>
    <row r="2" spans="1:7" ht="21" x14ac:dyDescent="0.35">
      <c r="A2" s="1">
        <v>30</v>
      </c>
      <c r="B2" s="1">
        <v>15</v>
      </c>
    </row>
    <row r="3" spans="1:7" ht="21" x14ac:dyDescent="0.35">
      <c r="A3" s="1">
        <v>100</v>
      </c>
      <c r="B3" s="1">
        <v>5</v>
      </c>
      <c r="E3" t="s">
        <v>9</v>
      </c>
      <c r="F3" t="s">
        <v>10</v>
      </c>
      <c r="G3" s="12">
        <f>AVERAGE(A2:A16,B2:B16)</f>
        <v>41.533333333333331</v>
      </c>
    </row>
    <row r="4" spans="1:7" ht="21" x14ac:dyDescent="0.35">
      <c r="A4" s="1">
        <v>5</v>
      </c>
      <c r="B4" s="1">
        <v>34</v>
      </c>
      <c r="F4" t="s">
        <v>11</v>
      </c>
      <c r="G4" s="12">
        <f>STDEV(A2:A16,B2:B16)</f>
        <v>48.407560917928812</v>
      </c>
    </row>
    <row r="5" spans="1:7" ht="21" x14ac:dyDescent="0.35">
      <c r="A5" s="1">
        <v>23</v>
      </c>
      <c r="B5" s="1">
        <v>56</v>
      </c>
      <c r="E5" t="s">
        <v>13</v>
      </c>
      <c r="F5" t="s">
        <v>12</v>
      </c>
      <c r="G5" s="12">
        <f>CORREL(A2:A16,B2:B16)</f>
        <v>-0.65394597050183523</v>
      </c>
    </row>
    <row r="6" spans="1:7" ht="21" x14ac:dyDescent="0.35">
      <c r="A6" s="1">
        <v>78</v>
      </c>
      <c r="B6" s="1">
        <v>20</v>
      </c>
      <c r="E6" t="s">
        <v>14</v>
      </c>
      <c r="F6" t="s">
        <v>29</v>
      </c>
    </row>
    <row r="7" spans="1:7" ht="21" x14ac:dyDescent="0.35">
      <c r="A7" s="1">
        <v>106</v>
      </c>
      <c r="B7" s="1">
        <v>7</v>
      </c>
      <c r="F7" t="s">
        <v>30</v>
      </c>
    </row>
    <row r="8" spans="1:7" ht="21" x14ac:dyDescent="0.35">
      <c r="A8" s="1">
        <v>250</v>
      </c>
      <c r="B8" s="1">
        <v>3</v>
      </c>
      <c r="E8" t="s">
        <v>17</v>
      </c>
    </row>
    <row r="9" spans="1:7" ht="21" x14ac:dyDescent="0.35">
      <c r="A9" s="1">
        <v>45</v>
      </c>
      <c r="B9" s="1">
        <v>25</v>
      </c>
    </row>
    <row r="10" spans="1:7" ht="21" x14ac:dyDescent="0.35">
      <c r="A10" s="1">
        <v>70</v>
      </c>
      <c r="B10" s="1">
        <v>10</v>
      </c>
    </row>
    <row r="11" spans="1:7" ht="21" x14ac:dyDescent="0.35">
      <c r="A11" s="1">
        <v>67</v>
      </c>
      <c r="B11" s="1">
        <v>11</v>
      </c>
    </row>
    <row r="12" spans="1:7" ht="21" x14ac:dyDescent="0.35">
      <c r="A12" s="1">
        <v>20</v>
      </c>
      <c r="B12" s="1">
        <v>35</v>
      </c>
    </row>
    <row r="13" spans="1:7" ht="21" x14ac:dyDescent="0.35">
      <c r="A13" s="1">
        <v>14</v>
      </c>
      <c r="B13" s="1">
        <v>22</v>
      </c>
    </row>
    <row r="14" spans="1:7" ht="21" x14ac:dyDescent="0.35">
      <c r="A14" s="1">
        <v>9</v>
      </c>
      <c r="B14" s="1">
        <v>53</v>
      </c>
    </row>
    <row r="15" spans="1:7" ht="21" x14ac:dyDescent="0.35">
      <c r="A15" s="1">
        <v>2</v>
      </c>
      <c r="B15" s="1">
        <v>34</v>
      </c>
    </row>
    <row r="16" spans="1:7" ht="21" x14ac:dyDescent="0.35">
      <c r="A16" s="1">
        <v>56</v>
      </c>
      <c r="B16" s="1">
        <v>41</v>
      </c>
    </row>
    <row r="20" spans="5:7" x14ac:dyDescent="0.25">
      <c r="E20" t="s">
        <v>18</v>
      </c>
      <c r="F20" s="20">
        <v>170</v>
      </c>
      <c r="G20" s="16">
        <f>-0.1762*F20+35.01</f>
        <v>5.0559999999999974</v>
      </c>
    </row>
    <row r="21" spans="5:7" x14ac:dyDescent="0.25">
      <c r="F21" s="20">
        <v>35</v>
      </c>
      <c r="G21" s="16">
        <f t="shared" ref="G21:G22" si="0">-0.1762*F21+35.01</f>
        <v>28.842999999999996</v>
      </c>
    </row>
    <row r="22" spans="5:7" x14ac:dyDescent="0.25">
      <c r="F22" s="20">
        <v>80</v>
      </c>
      <c r="G22" s="16">
        <f t="shared" si="0"/>
        <v>20.913999999999998</v>
      </c>
    </row>
  </sheetData>
  <pageMargins left="0.75" right="0.75" top="1" bottom="1" header="0.5" footer="0.5"/>
  <drawing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Problem 1 Data</vt:lpstr>
      <vt:lpstr>Problem 2 Data</vt:lpstr>
      <vt:lpstr>Problem 3 Data</vt:lpstr>
      <vt:lpstr>Problem 4 Data</vt:lpstr>
      <vt:lpstr>Problem 5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 Support</dc:creator>
  <cp:lastModifiedBy>Skylar Valerio</cp:lastModifiedBy>
  <dcterms:created xsi:type="dcterms:W3CDTF">2015-05-26T17:03:20Z</dcterms:created>
  <dcterms:modified xsi:type="dcterms:W3CDTF">2019-09-24T03:06:15Z</dcterms:modified>
</cp:coreProperties>
</file>