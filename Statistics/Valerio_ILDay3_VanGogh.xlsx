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kyla\OneDrive\Desktop\"/>
    </mc:Choice>
  </mc:AlternateContent>
  <xr:revisionPtr revIDLastSave="0" documentId="8_{2E4363AE-F90A-4D4F-B2F2-B89BEEA1FFDB}" xr6:coauthVersionLast="41" xr6:coauthVersionMax="41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44" i="1" l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H6" i="1"/>
  <c r="H5" i="1"/>
</calcChain>
</file>

<file path=xl/sharedStrings.xml><?xml version="1.0" encoding="utf-8"?>
<sst xmlns="http://schemas.openxmlformats.org/spreadsheetml/2006/main" count="137" uniqueCount="56">
  <si>
    <t>Vincent Van Gogh Auctions in the US, 2005-2015</t>
  </si>
  <si>
    <t>Title</t>
  </si>
  <si>
    <t>Auction House</t>
  </si>
  <si>
    <t>Date</t>
  </si>
  <si>
    <t>Selling Price</t>
  </si>
  <si>
    <t>Orphan Man with Top Hat, Eating from a Plate</t>
  </si>
  <si>
    <t>Christie's (New York)</t>
  </si>
  <si>
    <t>Cottage with Trees</t>
  </si>
  <si>
    <t>Landscape with Windblown Trees</t>
  </si>
  <si>
    <t>Sotheby's (New York)</t>
  </si>
  <si>
    <t>The Baby Marcelle Roulin</t>
  </si>
  <si>
    <t>Landscape Under a Stormy Sky</t>
  </si>
  <si>
    <t>Bush in the Park at Arles: The Poet's Garden II</t>
  </si>
  <si>
    <t>Woman Sitting in the Grass</t>
  </si>
  <si>
    <t>Les Alyscamps</t>
  </si>
  <si>
    <t>Orphan Man, Wearing a Blouse, with Broom and Pipe</t>
  </si>
  <si>
    <t>Landscape with Dunes</t>
  </si>
  <si>
    <t>Still Life: Red Poppies and Daisies</t>
  </si>
  <si>
    <t>Head of an Old Peasant Woman with White Cap</t>
  </si>
  <si>
    <t>The Old Tower in the Fields</t>
  </si>
  <si>
    <t>Two Women in the Woods</t>
  </si>
  <si>
    <t>Bonhams (New York)</t>
  </si>
  <si>
    <t>Peasant Woman at the Washtub and Peasant Woman Hanging Up the Laundry</t>
  </si>
  <si>
    <t>Vincent's House in Arles (The Yellow House)</t>
  </si>
  <si>
    <t>Peasant Woman Reeling Yarn</t>
  </si>
  <si>
    <t>Two Lovers (Fragment)</t>
  </si>
  <si>
    <t>Enclosed Field</t>
  </si>
  <si>
    <t>Peasant Woman, Head</t>
  </si>
  <si>
    <t>Old Man and Woman</t>
  </si>
  <si>
    <t>Footbridge across a Ditch</t>
  </si>
  <si>
    <t>Peasant Woman Seated before an Open Door</t>
  </si>
  <si>
    <t>The Reader</t>
  </si>
  <si>
    <t>Plaster Statuette of a Female Torso</t>
  </si>
  <si>
    <t>Beach with People Walking and Boats</t>
  </si>
  <si>
    <t>Weaver Facing Right</t>
  </si>
  <si>
    <t>Sheet with Many Sketches of Figures</t>
  </si>
  <si>
    <t>Iron Mill in The Hague</t>
  </si>
  <si>
    <t>Bench in a Wood</t>
  </si>
  <si>
    <t>Peasant Woman, Planting Beets</t>
  </si>
  <si>
    <t>Pollard Willow</t>
  </si>
  <si>
    <t>View of Paris from Vincent's Room in the Rue Lepic</t>
  </si>
  <si>
    <t>Head of a Peasant Woman with Dark Cap</t>
  </si>
  <si>
    <t>Young Man, Sitting with a Cup in his Hand, Half-Length</t>
  </si>
  <si>
    <t>A Pair of Shoes</t>
  </si>
  <si>
    <t>Sotheby's (London)</t>
  </si>
  <si>
    <t>Vase with Gladioli and Lilac</t>
  </si>
  <si>
    <t>Rooftops</t>
  </si>
  <si>
    <t>L'Arlesienne (Madame Ginoux)</t>
  </si>
  <si>
    <t>Mean:</t>
  </si>
  <si>
    <t>Assignment Answers</t>
  </si>
  <si>
    <t>Z-Scores</t>
  </si>
  <si>
    <t>Standard Deviation:</t>
  </si>
  <si>
    <t>Sold for unusually high price?:</t>
  </si>
  <si>
    <t>Sold for unusually low price?:</t>
  </si>
  <si>
    <t>Young Man, Sitting With Cup in his Hand</t>
  </si>
  <si>
    <t>unusual 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</si>
</sst>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$-409]* #,##0.00_ ;_-[$$-409]* \-#,##0.00\ ;_-[$$-409]* &quot;-&quot;??_ ;_-@_ "/>
  </numFmts>
  <fonts count="1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Times"/>
    </font>
    <font>
      <b/>
      <sz val="12"/>
      <color theme="1"/>
      <name val="Times"/>
    </font>
    <font>
      <u/>
      <sz val="12"/>
      <color theme="10"/>
      <name val="Calibri"/>
      <family val="2"/>
      <scheme val="minor"/>
    </font>
    <font>
      <sz val="11"/>
      <name val="Avenir Medium"/>
    </font>
    <font>
      <sz val="12"/>
      <color theme="1"/>
      <name val="Times"/>
    </font>
    <font>
      <b/>
      <sz val="16"/>
      <color rgb="FF000080"/>
      <name val="Arial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Font="1"/>
    <xf numFmtId="0" fontId="0" fillId="0" borderId="0" xfId="0" applyFont="1" applyAlignment="1">
      <alignment horizontal="left" vertical="center"/>
    </xf>
    <xf numFmtId="164" fontId="0" fillId="0" borderId="0" xfId="0" applyNumberFormat="1" applyFont="1" applyFill="1"/>
    <xf numFmtId="0" fontId="2" fillId="0" borderId="0" xfId="0" applyFont="1"/>
    <xf numFmtId="0" fontId="0" fillId="0" borderId="0" xfId="0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left" vertical="center"/>
    </xf>
    <xf numFmtId="0" fontId="5" fillId="0" borderId="0" xfId="1" applyFont="1"/>
    <xf numFmtId="0" fontId="6" fillId="0" borderId="0" xfId="0" applyFont="1"/>
    <xf numFmtId="15" fontId="6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64" fontId="1" fillId="2" borderId="0" xfId="0" applyNumberFormat="1" applyFont="1" applyFill="1"/>
    <xf numFmtId="0" fontId="7" fillId="3" borderId="0" xfId="0" applyFont="1" applyFill="1"/>
    <xf numFmtId="0" fontId="9" fillId="4" borderId="2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5" fillId="0" borderId="5" xfId="1" applyFont="1" applyBorder="1"/>
    <xf numFmtId="0" fontId="5" fillId="0" borderId="0" xfId="1" applyFont="1" applyBorder="1"/>
    <xf numFmtId="0" fontId="0" fillId="0" borderId="6" xfId="0" applyBorder="1"/>
    <xf numFmtId="0" fontId="5" fillId="0" borderId="7" xfId="1" applyFont="1" applyBorder="1"/>
    <xf numFmtId="0" fontId="5" fillId="0" borderId="8" xfId="1" applyFont="1" applyBorder="1"/>
    <xf numFmtId="0" fontId="0" fillId="0" borderId="9" xfId="0" applyBorder="1"/>
    <xf numFmtId="0" fontId="9" fillId="4" borderId="12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14" xfId="0" applyFont="1" applyFill="1" applyBorder="1" applyAlignment="1">
      <alignment horizontal="center"/>
    </xf>
    <xf numFmtId="4" fontId="0" fillId="0" borderId="10" xfId="0" applyNumberFormat="1" applyBorder="1"/>
    <xf numFmtId="4" fontId="0" fillId="5" borderId="10" xfId="0" applyNumberFormat="1" applyFill="1" applyBorder="1"/>
    <xf numFmtId="4" fontId="0" fillId="0" borderId="11" xfId="0" applyNumberFormat="1" applyBorder="1"/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1" fillId="0" borderId="5" xfId="0" applyFont="1" applyBorder="1"/>
    <xf numFmtId="164" fontId="0" fillId="0" borderId="6" xfId="0" applyNumberFormat="1" applyBorder="1"/>
    <xf numFmtId="44" fontId="0" fillId="0" borderId="6" xfId="2" applyFont="1" applyBorder="1"/>
    <xf numFmtId="0" fontId="10" fillId="0" borderId="5" xfId="0" applyFont="1" applyBorder="1" applyAlignment="1">
      <alignment horizontal="left"/>
    </xf>
    <xf numFmtId="0" fontId="10" fillId="0" borderId="7" xfId="0" applyFont="1" applyBorder="1"/>
    <xf numFmtId="0" fontId="0" fillId="0" borderId="8" xfId="0" applyBorder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vggallery.com/watercolours/p_0982.htm" TargetMode="External"/><Relationship Id="rId21" Type="http://schemas.openxmlformats.org/officeDocument/2006/relationships/hyperlink" Target="http://www.vggallery.com/drawings/p_18_2008.htm" TargetMode="External"/><Relationship Id="rId42" Type="http://schemas.openxmlformats.org/officeDocument/2006/relationships/hyperlink" Target="http://www.vggallery.com/painting/p_0092a.htm" TargetMode="External"/><Relationship Id="rId47" Type="http://schemas.openxmlformats.org/officeDocument/2006/relationships/hyperlink" Target="http://www.vggallery.com/drawings/p_1465.htm" TargetMode="External"/><Relationship Id="rId63" Type="http://schemas.openxmlformats.org/officeDocument/2006/relationships/hyperlink" Target="http://www.vggallery.com/painting/p_0189.htm" TargetMode="External"/><Relationship Id="rId68" Type="http://schemas.openxmlformats.org/officeDocument/2006/relationships/hyperlink" Target="http://www.vggallery.com/painting/p_0162.htm" TargetMode="External"/><Relationship Id="rId16" Type="http://schemas.openxmlformats.org/officeDocument/2006/relationships/hyperlink" Target="http://www.vggallery.com/painting/p_1665.htm" TargetMode="External"/><Relationship Id="rId11" Type="http://schemas.openxmlformats.org/officeDocument/2006/relationships/hyperlink" Target="http://www.vggallery.com/painting/p_0280.htm" TargetMode="External"/><Relationship Id="rId32" Type="http://schemas.openxmlformats.org/officeDocument/2006/relationships/hyperlink" Target="http://www.vggallery.com/drawings/p_1272a.htm" TargetMode="External"/><Relationship Id="rId37" Type="http://schemas.openxmlformats.org/officeDocument/2006/relationships/hyperlink" Target="http://www.vggallery.com/painting/p_0332a.htm" TargetMode="External"/><Relationship Id="rId53" Type="http://schemas.openxmlformats.org/officeDocument/2006/relationships/hyperlink" Target="http://www.vggallery.com/painting/p_0040.htm" TargetMode="External"/><Relationship Id="rId58" Type="http://schemas.openxmlformats.org/officeDocument/2006/relationships/hyperlink" Target="http://www.vggallery.com/painting/p_0544.htm" TargetMode="External"/><Relationship Id="rId74" Type="http://schemas.openxmlformats.org/officeDocument/2006/relationships/hyperlink" Target="http://www.vggallery.com/watercolours/p_0926.htm" TargetMode="External"/><Relationship Id="rId79" Type="http://schemas.openxmlformats.org/officeDocument/2006/relationships/hyperlink" Target="http://www.vggallery.com/painting/p_0286a.htm" TargetMode="External"/><Relationship Id="rId5" Type="http://schemas.openxmlformats.org/officeDocument/2006/relationships/hyperlink" Target="http://www.vggallery.com/painting/p_0575.htm" TargetMode="External"/><Relationship Id="rId61" Type="http://schemas.openxmlformats.org/officeDocument/2006/relationships/hyperlink" Target="http://www.vggallery.com/drawings/p_1169.htm" TargetMode="External"/><Relationship Id="rId82" Type="http://schemas.openxmlformats.org/officeDocument/2006/relationships/hyperlink" Target="http://www.vggallery.com/painting/p_0341a.htm" TargetMode="External"/><Relationship Id="rId19" Type="http://schemas.openxmlformats.org/officeDocument/2006/relationships/hyperlink" Target="http://www.vggallery.com/drawings/p_1560.htm" TargetMode="External"/><Relationship Id="rId14" Type="http://schemas.openxmlformats.org/officeDocument/2006/relationships/hyperlink" Target="http://www.vggallery.com/drawings/p_1284.htm" TargetMode="External"/><Relationship Id="rId22" Type="http://schemas.openxmlformats.org/officeDocument/2006/relationships/hyperlink" Target="http://www.vggallery.com/painting/p_0189.htm" TargetMode="External"/><Relationship Id="rId27" Type="http://schemas.openxmlformats.org/officeDocument/2006/relationships/hyperlink" Target="http://www.vggallery.com/painting/p_0162.htm" TargetMode="External"/><Relationship Id="rId30" Type="http://schemas.openxmlformats.org/officeDocument/2006/relationships/hyperlink" Target="http://www.vggallery.com/watercolours/p_0947.htm" TargetMode="External"/><Relationship Id="rId35" Type="http://schemas.openxmlformats.org/officeDocument/2006/relationships/hyperlink" Target="http://www.vggallery.com/drawings/p_1652r.htm" TargetMode="External"/><Relationship Id="rId43" Type="http://schemas.openxmlformats.org/officeDocument/2006/relationships/hyperlink" Target="http://www.vggallery.com/drawings/p_0956.htm" TargetMode="External"/><Relationship Id="rId48" Type="http://schemas.openxmlformats.org/officeDocument/2006/relationships/hyperlink" Target="http://www.vggallery.com/painting/p_0569.htm" TargetMode="External"/><Relationship Id="rId56" Type="http://schemas.openxmlformats.org/officeDocument/2006/relationships/hyperlink" Target="http://www.vggallery.com/drawings/p_1453.htm" TargetMode="External"/><Relationship Id="rId64" Type="http://schemas.openxmlformats.org/officeDocument/2006/relationships/hyperlink" Target="http://www.vggallery.com/painting/p_0073.htm" TargetMode="External"/><Relationship Id="rId69" Type="http://schemas.openxmlformats.org/officeDocument/2006/relationships/hyperlink" Target="http://www.vggallery.com/painting/p_0133.htm" TargetMode="External"/><Relationship Id="rId77" Type="http://schemas.openxmlformats.org/officeDocument/2006/relationships/hyperlink" Target="http://www.vggallery.com/drawings/p_0964b.htm" TargetMode="External"/><Relationship Id="rId8" Type="http://schemas.openxmlformats.org/officeDocument/2006/relationships/hyperlink" Target="http://www.vggallery.com/painting/p_0367.htm" TargetMode="External"/><Relationship Id="rId51" Type="http://schemas.openxmlformats.org/officeDocument/2006/relationships/hyperlink" Target="http://www.vggallery.com/drawings/p_0996.htm" TargetMode="External"/><Relationship Id="rId72" Type="http://schemas.openxmlformats.org/officeDocument/2006/relationships/hyperlink" Target="http://www.vggallery.com/painting/p_0341a.htm" TargetMode="External"/><Relationship Id="rId80" Type="http://schemas.openxmlformats.org/officeDocument/2006/relationships/hyperlink" Target="http://www.vggallery.com/watercolours/p_0943.htm" TargetMode="External"/><Relationship Id="rId3" Type="http://schemas.openxmlformats.org/officeDocument/2006/relationships/hyperlink" Target="http://www.vggallery.com/painting/p_0196.htm" TargetMode="External"/><Relationship Id="rId12" Type="http://schemas.openxmlformats.org/officeDocument/2006/relationships/hyperlink" Target="http://www.vggallery.com/painting/p_0040.htm" TargetMode="External"/><Relationship Id="rId17" Type="http://schemas.openxmlformats.org/officeDocument/2006/relationships/hyperlink" Target="http://www.vggallery.com/painting/p_0544.htm" TargetMode="External"/><Relationship Id="rId25" Type="http://schemas.openxmlformats.org/officeDocument/2006/relationships/hyperlink" Target="http://www.vggallery.com/painting/p_0497.htm" TargetMode="External"/><Relationship Id="rId33" Type="http://schemas.openxmlformats.org/officeDocument/2006/relationships/hyperlink" Target="http://www.vggallery.com/watercolours/p_0926.htm" TargetMode="External"/><Relationship Id="rId38" Type="http://schemas.openxmlformats.org/officeDocument/2006/relationships/hyperlink" Target="http://www.vggallery.com/painting/p_0286a.htm" TargetMode="External"/><Relationship Id="rId46" Type="http://schemas.openxmlformats.org/officeDocument/2006/relationships/hyperlink" Target="http://www.vggallery.com/painting/p_0575.htm" TargetMode="External"/><Relationship Id="rId59" Type="http://schemas.openxmlformats.org/officeDocument/2006/relationships/hyperlink" Target="http://www.vggallery.com/drawings/p_1290a.htm" TargetMode="External"/><Relationship Id="rId67" Type="http://schemas.openxmlformats.org/officeDocument/2006/relationships/hyperlink" Target="http://www.vggallery.com/watercolours/p_0982.htm" TargetMode="External"/><Relationship Id="rId20" Type="http://schemas.openxmlformats.org/officeDocument/2006/relationships/hyperlink" Target="http://www.vggallery.com/drawings/p_1169.htm" TargetMode="External"/><Relationship Id="rId41" Type="http://schemas.openxmlformats.org/officeDocument/2006/relationships/hyperlink" Target="http://www.vggallery.com/painting/p_0341a.htm" TargetMode="External"/><Relationship Id="rId54" Type="http://schemas.openxmlformats.org/officeDocument/2006/relationships/hyperlink" Target="http://www.vggallery.com/painting/p_0146.htm" TargetMode="External"/><Relationship Id="rId62" Type="http://schemas.openxmlformats.org/officeDocument/2006/relationships/hyperlink" Target="http://www.vggallery.com/drawings/p_18_2008.htm" TargetMode="External"/><Relationship Id="rId70" Type="http://schemas.openxmlformats.org/officeDocument/2006/relationships/hyperlink" Target="http://www.vggallery.com/drawings/p_1284.htm" TargetMode="External"/><Relationship Id="rId75" Type="http://schemas.openxmlformats.org/officeDocument/2006/relationships/hyperlink" Target="http://www.vggallery.com/drawings/p_0928.htm" TargetMode="External"/><Relationship Id="rId1" Type="http://schemas.openxmlformats.org/officeDocument/2006/relationships/hyperlink" Target="http://www.vggallery.com/painting/p_0092a.htm" TargetMode="External"/><Relationship Id="rId6" Type="http://schemas.openxmlformats.org/officeDocument/2006/relationships/hyperlink" Target="http://www.vggallery.com/drawings/p_1465.htm" TargetMode="External"/><Relationship Id="rId15" Type="http://schemas.openxmlformats.org/officeDocument/2006/relationships/hyperlink" Target="http://www.vggallery.com/drawings/p_1453.htm" TargetMode="External"/><Relationship Id="rId23" Type="http://schemas.openxmlformats.org/officeDocument/2006/relationships/hyperlink" Target="http://www.vggallery.com/painting/p_0073.htm" TargetMode="External"/><Relationship Id="rId28" Type="http://schemas.openxmlformats.org/officeDocument/2006/relationships/hyperlink" Target="http://www.vggallery.com/painting/p_0133.htm" TargetMode="External"/><Relationship Id="rId36" Type="http://schemas.openxmlformats.org/officeDocument/2006/relationships/hyperlink" Target="http://www.vggallery.com/drawings/p_0964b.htm" TargetMode="External"/><Relationship Id="rId49" Type="http://schemas.openxmlformats.org/officeDocument/2006/relationships/hyperlink" Target="http://www.vggallery.com/painting/p_0367.htm" TargetMode="External"/><Relationship Id="rId57" Type="http://schemas.openxmlformats.org/officeDocument/2006/relationships/hyperlink" Target="http://www.vggallery.com/painting/p_1665.htm" TargetMode="External"/><Relationship Id="rId10" Type="http://schemas.openxmlformats.org/officeDocument/2006/relationships/hyperlink" Target="http://www.vggallery.com/drawings/p_0996.htm" TargetMode="External"/><Relationship Id="rId31" Type="http://schemas.openxmlformats.org/officeDocument/2006/relationships/hyperlink" Target="http://www.vggallery.com/painting/p_0341a.htm" TargetMode="External"/><Relationship Id="rId44" Type="http://schemas.openxmlformats.org/officeDocument/2006/relationships/hyperlink" Target="http://www.vggallery.com/painting/p_0196.htm" TargetMode="External"/><Relationship Id="rId52" Type="http://schemas.openxmlformats.org/officeDocument/2006/relationships/hyperlink" Target="http://www.vggallery.com/painting/p_0280.htm" TargetMode="External"/><Relationship Id="rId60" Type="http://schemas.openxmlformats.org/officeDocument/2006/relationships/hyperlink" Target="http://www.vggallery.com/drawings/p_1560.htm" TargetMode="External"/><Relationship Id="rId65" Type="http://schemas.openxmlformats.org/officeDocument/2006/relationships/hyperlink" Target="http://www.vggallery.com/painting/p_0216.htm" TargetMode="External"/><Relationship Id="rId73" Type="http://schemas.openxmlformats.org/officeDocument/2006/relationships/hyperlink" Target="http://www.vggallery.com/drawings/p_1272a.htm" TargetMode="External"/><Relationship Id="rId78" Type="http://schemas.openxmlformats.org/officeDocument/2006/relationships/hyperlink" Target="http://www.vggallery.com/painting/p_0332a.htm" TargetMode="External"/><Relationship Id="rId81" Type="http://schemas.openxmlformats.org/officeDocument/2006/relationships/hyperlink" Target="http://www.vggallery.com/painting/p_0543.htm" TargetMode="External"/><Relationship Id="rId4" Type="http://schemas.openxmlformats.org/officeDocument/2006/relationships/hyperlink" Target="http://www.vggallery.com/painting/p_0441a.htm" TargetMode="External"/><Relationship Id="rId9" Type="http://schemas.openxmlformats.org/officeDocument/2006/relationships/hyperlink" Target="http://www.vggallery.com/painting/p_0015a.htm" TargetMode="External"/><Relationship Id="rId13" Type="http://schemas.openxmlformats.org/officeDocument/2006/relationships/hyperlink" Target="http://www.vggallery.com/painting/p_0146.htm" TargetMode="External"/><Relationship Id="rId18" Type="http://schemas.openxmlformats.org/officeDocument/2006/relationships/hyperlink" Target="http://www.vggallery.com/drawings/p_1290a.htm" TargetMode="External"/><Relationship Id="rId39" Type="http://schemas.openxmlformats.org/officeDocument/2006/relationships/hyperlink" Target="http://www.vggallery.com/watercolours/p_0943.htm" TargetMode="External"/><Relationship Id="rId34" Type="http://schemas.openxmlformats.org/officeDocument/2006/relationships/hyperlink" Target="http://www.vggallery.com/drawings/p_0928.htm" TargetMode="External"/><Relationship Id="rId50" Type="http://schemas.openxmlformats.org/officeDocument/2006/relationships/hyperlink" Target="http://www.vggallery.com/painting/p_0015a.htm" TargetMode="External"/><Relationship Id="rId55" Type="http://schemas.openxmlformats.org/officeDocument/2006/relationships/hyperlink" Target="http://www.vggallery.com/drawings/p_1284.htm" TargetMode="External"/><Relationship Id="rId76" Type="http://schemas.openxmlformats.org/officeDocument/2006/relationships/hyperlink" Target="http://www.vggallery.com/drawings/p_1652r.htm" TargetMode="External"/><Relationship Id="rId7" Type="http://schemas.openxmlformats.org/officeDocument/2006/relationships/hyperlink" Target="http://www.vggallery.com/painting/p_0569.htm" TargetMode="External"/><Relationship Id="rId71" Type="http://schemas.openxmlformats.org/officeDocument/2006/relationships/hyperlink" Target="http://www.vggallery.com/watercolours/p_0947.htm" TargetMode="External"/><Relationship Id="rId2" Type="http://schemas.openxmlformats.org/officeDocument/2006/relationships/hyperlink" Target="http://www.vggallery.com/drawings/p_0956.htm" TargetMode="External"/><Relationship Id="rId29" Type="http://schemas.openxmlformats.org/officeDocument/2006/relationships/hyperlink" Target="http://www.vggallery.com/drawings/p_1284.htm" TargetMode="External"/><Relationship Id="rId24" Type="http://schemas.openxmlformats.org/officeDocument/2006/relationships/hyperlink" Target="http://www.vggallery.com/painting/p_0216.htm" TargetMode="External"/><Relationship Id="rId40" Type="http://schemas.openxmlformats.org/officeDocument/2006/relationships/hyperlink" Target="http://www.vggallery.com/painting/p_0543.htm" TargetMode="External"/><Relationship Id="rId45" Type="http://schemas.openxmlformats.org/officeDocument/2006/relationships/hyperlink" Target="http://www.vggallery.com/painting/p_0441a.htm" TargetMode="External"/><Relationship Id="rId66" Type="http://schemas.openxmlformats.org/officeDocument/2006/relationships/hyperlink" Target="http://www.vggallery.com/painting/p_049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workbookViewId="0">
      <selection activeCell="F20" sqref="F20"/>
    </sheetView>
  </sheetViews>
  <sheetFormatPr defaultColWidth="11" defaultRowHeight="15.75"/>
  <cols>
    <col min="1" max="1" width="69.875" customWidth="1"/>
    <col min="2" max="2" width="23.375" customWidth="1"/>
    <col min="3" max="3" width="34.125" customWidth="1"/>
    <col min="4" max="4" width="21.125" customWidth="1"/>
    <col min="6" max="6" width="14.75" bestFit="1" customWidth="1"/>
    <col min="8" max="8" width="14.75" bestFit="1" customWidth="1"/>
  </cols>
  <sheetData>
    <row r="1" spans="1:16" ht="20.25">
      <c r="A1" s="13" t="s">
        <v>0</v>
      </c>
      <c r="B1" s="1"/>
      <c r="C1" s="2"/>
      <c r="D1" s="3"/>
    </row>
    <row r="2" spans="1:16" ht="18.75">
      <c r="A2" s="4"/>
      <c r="C2" s="5"/>
      <c r="D2" s="3"/>
    </row>
    <row r="3" spans="1:16">
      <c r="A3" s="6" t="s">
        <v>1</v>
      </c>
      <c r="B3" s="6" t="s">
        <v>2</v>
      </c>
      <c r="C3" s="7" t="s">
        <v>3</v>
      </c>
      <c r="D3" s="12" t="s">
        <v>4</v>
      </c>
      <c r="F3" s="14" t="s">
        <v>49</v>
      </c>
      <c r="G3" s="15"/>
      <c r="H3" s="16"/>
      <c r="J3" s="23" t="s">
        <v>50</v>
      </c>
      <c r="K3" s="24"/>
      <c r="L3" s="24"/>
      <c r="M3" s="24"/>
      <c r="N3" s="24"/>
      <c r="O3" s="24"/>
      <c r="P3" s="25"/>
    </row>
    <row r="4" spans="1:16">
      <c r="A4" s="8" t="s">
        <v>5</v>
      </c>
      <c r="B4" s="9" t="s">
        <v>6</v>
      </c>
      <c r="C4" s="10">
        <v>42321</v>
      </c>
      <c r="D4" s="3">
        <v>593000</v>
      </c>
      <c r="F4" s="31"/>
      <c r="G4" s="32"/>
      <c r="H4" s="19"/>
      <c r="J4" s="17" t="s">
        <v>5</v>
      </c>
      <c r="K4" s="18"/>
      <c r="L4" s="18"/>
      <c r="M4" s="18"/>
      <c r="N4" s="18"/>
      <c r="O4" s="18"/>
      <c r="P4" s="26">
        <f>(D4-H5)/H6</f>
        <v>-0.41798083807334374</v>
      </c>
    </row>
    <row r="5" spans="1:16">
      <c r="A5" s="8" t="s">
        <v>7</v>
      </c>
      <c r="B5" s="9" t="s">
        <v>6</v>
      </c>
      <c r="C5" s="10">
        <v>42321</v>
      </c>
      <c r="D5" s="3">
        <v>965000</v>
      </c>
      <c r="F5" s="33" t="s">
        <v>48</v>
      </c>
      <c r="G5" s="32"/>
      <c r="H5" s="34">
        <f>AVERAGE(D4:D44)</f>
        <v>7365742.9756097561</v>
      </c>
      <c r="J5" s="17" t="s">
        <v>7</v>
      </c>
      <c r="K5" s="18"/>
      <c r="L5" s="18"/>
      <c r="M5" s="18"/>
      <c r="N5" s="18"/>
      <c r="O5" s="18"/>
      <c r="P5" s="26">
        <f>(D5-H5)/H6</f>
        <v>-0.39502280285434366</v>
      </c>
    </row>
    <row r="6" spans="1:16">
      <c r="A6" s="8" t="s">
        <v>8</v>
      </c>
      <c r="B6" s="9" t="s">
        <v>9</v>
      </c>
      <c r="C6" s="10">
        <v>42314</v>
      </c>
      <c r="D6" s="3">
        <v>670000</v>
      </c>
      <c r="F6" s="33" t="s">
        <v>51</v>
      </c>
      <c r="G6" s="32"/>
      <c r="H6" s="35">
        <f>STDEV(D4:D44)</f>
        <v>16203477.190074759</v>
      </c>
      <c r="J6" s="17" t="s">
        <v>8</v>
      </c>
      <c r="K6" s="18"/>
      <c r="L6" s="18"/>
      <c r="M6" s="18"/>
      <c r="N6" s="18"/>
      <c r="O6" s="18"/>
      <c r="P6" s="26">
        <f>(D6-H5)/H6</f>
        <v>-0.41322877164360444</v>
      </c>
    </row>
    <row r="7" spans="1:16">
      <c r="A7" s="8" t="s">
        <v>10</v>
      </c>
      <c r="B7" s="9" t="s">
        <v>9</v>
      </c>
      <c r="C7" s="10">
        <v>42313</v>
      </c>
      <c r="D7" s="3">
        <v>7642000</v>
      </c>
      <c r="F7" s="31"/>
      <c r="G7" s="32"/>
      <c r="H7" s="19"/>
      <c r="J7" s="17" t="s">
        <v>10</v>
      </c>
      <c r="K7" s="18"/>
      <c r="L7" s="18"/>
      <c r="M7" s="18"/>
      <c r="N7" s="18"/>
      <c r="O7" s="18"/>
      <c r="P7" s="26">
        <f>(D7-H5)/H6</f>
        <v>1.7049243267331642E-2</v>
      </c>
    </row>
    <row r="8" spans="1:16">
      <c r="A8" s="8" t="s">
        <v>11</v>
      </c>
      <c r="B8" s="9" t="s">
        <v>9</v>
      </c>
      <c r="C8" s="10">
        <v>42313</v>
      </c>
      <c r="D8" s="3">
        <v>50010000</v>
      </c>
      <c r="F8" s="33" t="s">
        <v>52</v>
      </c>
      <c r="G8" s="32"/>
      <c r="H8" s="19"/>
      <c r="J8" s="17" t="s">
        <v>11</v>
      </c>
      <c r="K8" s="18"/>
      <c r="L8" s="18"/>
      <c r="M8" s="18"/>
      <c r="N8" s="18"/>
      <c r="O8" s="18"/>
      <c r="P8" s="27">
        <f>(D8-H5)/H6</f>
        <v>2.6317966522958085</v>
      </c>
    </row>
    <row r="9" spans="1:16">
      <c r="A9" s="8" t="s">
        <v>12</v>
      </c>
      <c r="B9" s="9" t="s">
        <v>9</v>
      </c>
      <c r="C9" s="10">
        <v>42312</v>
      </c>
      <c r="D9" s="3">
        <v>1570000</v>
      </c>
      <c r="F9" s="36" t="s">
        <v>14</v>
      </c>
      <c r="G9" s="32"/>
      <c r="H9" s="19"/>
      <c r="J9" s="17" t="s">
        <v>12</v>
      </c>
      <c r="K9" s="18"/>
      <c r="L9" s="18"/>
      <c r="M9" s="18"/>
      <c r="N9" s="18"/>
      <c r="O9" s="18"/>
      <c r="P9" s="26">
        <f>(D9-H5)/H6</f>
        <v>-0.35768513804924956</v>
      </c>
    </row>
    <row r="10" spans="1:16">
      <c r="A10" s="8" t="s">
        <v>13</v>
      </c>
      <c r="B10" s="9" t="s">
        <v>9</v>
      </c>
      <c r="C10" s="10">
        <v>42129</v>
      </c>
      <c r="D10" s="3">
        <v>6400000</v>
      </c>
      <c r="F10" s="33" t="s">
        <v>53</v>
      </c>
      <c r="G10" s="32"/>
      <c r="H10" s="19"/>
      <c r="J10" s="17" t="s">
        <v>13</v>
      </c>
      <c r="K10" s="18"/>
      <c r="L10" s="18"/>
      <c r="M10" s="18"/>
      <c r="N10" s="18"/>
      <c r="O10" s="18"/>
      <c r="P10" s="26">
        <f>(D9-H5)/H6</f>
        <v>-0.35768513804924956</v>
      </c>
    </row>
    <row r="11" spans="1:16">
      <c r="A11" s="8" t="s">
        <v>14</v>
      </c>
      <c r="B11" s="9" t="s">
        <v>9</v>
      </c>
      <c r="C11" s="10">
        <v>42129</v>
      </c>
      <c r="D11" s="3">
        <v>66300000</v>
      </c>
      <c r="F11" s="37" t="s">
        <v>54</v>
      </c>
      <c r="G11" s="38"/>
      <c r="H11" s="22"/>
      <c r="J11" s="17" t="s">
        <v>14</v>
      </c>
      <c r="K11" s="18"/>
      <c r="L11" s="18"/>
      <c r="M11" s="18"/>
      <c r="N11" s="18"/>
      <c r="O11" s="18"/>
      <c r="P11" s="27">
        <f>(D11-H5)/H6</f>
        <v>3.6371364203536323</v>
      </c>
    </row>
    <row r="12" spans="1:16">
      <c r="A12" s="8" t="s">
        <v>15</v>
      </c>
      <c r="B12" s="9" t="s">
        <v>6</v>
      </c>
      <c r="C12" s="10">
        <v>41948</v>
      </c>
      <c r="D12" s="3">
        <v>341000</v>
      </c>
      <c r="J12" s="17" t="s">
        <v>15</v>
      </c>
      <c r="K12" s="18"/>
      <c r="L12" s="18"/>
      <c r="M12" s="18"/>
      <c r="N12" s="18"/>
      <c r="O12" s="18"/>
      <c r="P12" s="26">
        <f>(D12-H5)/H6</f>
        <v>-0.43353305547976306</v>
      </c>
    </row>
    <row r="13" spans="1:16">
      <c r="A13" s="8" t="s">
        <v>16</v>
      </c>
      <c r="B13" s="9" t="s">
        <v>6</v>
      </c>
      <c r="C13" s="10">
        <v>41948</v>
      </c>
      <c r="D13" s="3">
        <v>1800000</v>
      </c>
      <c r="G13" s="29"/>
      <c r="H13" s="30" t="s">
        <v>55</v>
      </c>
      <c r="J13" s="17" t="s">
        <v>16</v>
      </c>
      <c r="K13" s="18"/>
      <c r="L13" s="18"/>
      <c r="M13" s="18"/>
      <c r="N13" s="18"/>
      <c r="O13" s="18"/>
      <c r="P13" s="26">
        <f>(D13-H5)/H6</f>
        <v>-0.34349065390846995</v>
      </c>
    </row>
    <row r="14" spans="1:16">
      <c r="A14" s="8" t="s">
        <v>17</v>
      </c>
      <c r="B14" s="9" t="s">
        <v>9</v>
      </c>
      <c r="C14" s="10">
        <v>41947</v>
      </c>
      <c r="D14" s="3">
        <v>61800000</v>
      </c>
      <c r="J14" s="17" t="s">
        <v>17</v>
      </c>
      <c r="K14" s="18"/>
      <c r="L14" s="18"/>
      <c r="M14" s="18"/>
      <c r="N14" s="18"/>
      <c r="O14" s="18"/>
      <c r="P14" s="27">
        <f>(D14-H5)/H6</f>
        <v>3.3594182523818579</v>
      </c>
    </row>
    <row r="15" spans="1:16">
      <c r="A15" s="8" t="s">
        <v>18</v>
      </c>
      <c r="B15" s="9" t="s">
        <v>9</v>
      </c>
      <c r="C15" s="10">
        <v>41766</v>
      </c>
      <c r="D15" s="3">
        <v>1205000</v>
      </c>
      <c r="J15" s="17" t="s">
        <v>18</v>
      </c>
      <c r="K15" s="18"/>
      <c r="L15" s="18"/>
      <c r="M15" s="18"/>
      <c r="N15" s="18"/>
      <c r="O15" s="18"/>
      <c r="P15" s="26">
        <f>(D15-H5)/H6</f>
        <v>-0.38021116722918236</v>
      </c>
    </row>
    <row r="16" spans="1:16">
      <c r="A16" s="8" t="s">
        <v>19</v>
      </c>
      <c r="B16" s="9" t="s">
        <v>6</v>
      </c>
      <c r="C16" s="10">
        <v>41766</v>
      </c>
      <c r="D16" s="3">
        <v>1925000</v>
      </c>
      <c r="J16" s="17" t="s">
        <v>19</v>
      </c>
      <c r="K16" s="18"/>
      <c r="L16" s="18"/>
      <c r="M16" s="18"/>
      <c r="N16" s="18"/>
      <c r="O16" s="18"/>
      <c r="P16" s="26">
        <f>(D16-H5)/H6</f>
        <v>-0.33577626035369845</v>
      </c>
    </row>
    <row r="17" spans="1:16">
      <c r="A17" s="8" t="s">
        <v>20</v>
      </c>
      <c r="B17" s="9" t="s">
        <v>21</v>
      </c>
      <c r="C17" s="10">
        <v>41583</v>
      </c>
      <c r="D17" s="3">
        <v>689000</v>
      </c>
      <c r="J17" s="17" t="s">
        <v>20</v>
      </c>
      <c r="K17" s="18"/>
      <c r="L17" s="18"/>
      <c r="M17" s="18"/>
      <c r="N17" s="18"/>
      <c r="O17" s="18"/>
      <c r="P17" s="26">
        <f>(D17-H5)/H6</f>
        <v>-0.41205618382327919</v>
      </c>
    </row>
    <row r="18" spans="1:16">
      <c r="A18" s="8" t="s">
        <v>22</v>
      </c>
      <c r="B18" s="9" t="s">
        <v>6</v>
      </c>
      <c r="C18" s="10">
        <v>41583</v>
      </c>
      <c r="D18" s="3">
        <v>1445000</v>
      </c>
      <c r="J18" s="17" t="s">
        <v>22</v>
      </c>
      <c r="K18" s="18"/>
      <c r="L18" s="18"/>
      <c r="M18" s="18"/>
      <c r="N18" s="18"/>
      <c r="O18" s="18"/>
      <c r="P18" s="26">
        <f>(D18-H5)/H6</f>
        <v>-0.36539953160402106</v>
      </c>
    </row>
    <row r="19" spans="1:16">
      <c r="A19" s="8" t="s">
        <v>23</v>
      </c>
      <c r="B19" s="9" t="s">
        <v>6</v>
      </c>
      <c r="C19" s="10">
        <v>41583</v>
      </c>
      <c r="D19" s="3">
        <v>5485000</v>
      </c>
      <c r="J19" s="17" t="s">
        <v>23</v>
      </c>
      <c r="K19" s="18"/>
      <c r="L19" s="18"/>
      <c r="M19" s="18"/>
      <c r="N19" s="18"/>
      <c r="O19" s="18"/>
      <c r="P19" s="26">
        <f>(D19-H5)/H6</f>
        <v>-0.11607033191380564</v>
      </c>
    </row>
    <row r="20" spans="1:16">
      <c r="A20" s="8" t="s">
        <v>24</v>
      </c>
      <c r="B20" s="9" t="s">
        <v>9</v>
      </c>
      <c r="C20" s="10">
        <v>41401</v>
      </c>
      <c r="D20" s="3">
        <v>785000</v>
      </c>
      <c r="J20" s="17" t="s">
        <v>24</v>
      </c>
      <c r="K20" s="18"/>
      <c r="L20" s="18"/>
      <c r="M20" s="18"/>
      <c r="N20" s="18"/>
      <c r="O20" s="18"/>
      <c r="P20" s="26">
        <f>(D20-H5)/H6</f>
        <v>-0.40613152957321469</v>
      </c>
    </row>
    <row r="21" spans="1:16">
      <c r="A21" s="8" t="s">
        <v>25</v>
      </c>
      <c r="B21" s="9" t="s">
        <v>9</v>
      </c>
      <c r="C21" s="10">
        <v>41401</v>
      </c>
      <c r="D21" s="3">
        <v>7109000</v>
      </c>
      <c r="J21" s="17" t="s">
        <v>25</v>
      </c>
      <c r="K21" s="18"/>
      <c r="L21" s="18"/>
      <c r="M21" s="18"/>
      <c r="N21" s="18"/>
      <c r="O21" s="18"/>
      <c r="P21" s="26">
        <f>(D21-H5)/H6</f>
        <v>-1.5844930850214104E-2</v>
      </c>
    </row>
    <row r="22" spans="1:16">
      <c r="A22" s="8" t="s">
        <v>26</v>
      </c>
      <c r="B22" s="9" t="s">
        <v>9</v>
      </c>
      <c r="C22" s="10">
        <v>41032</v>
      </c>
      <c r="D22" s="3">
        <v>434500</v>
      </c>
      <c r="J22" s="17" t="s">
        <v>26</v>
      </c>
      <c r="K22" s="18"/>
      <c r="L22" s="18"/>
      <c r="M22" s="18"/>
      <c r="N22" s="18"/>
      <c r="O22" s="18"/>
      <c r="P22" s="26">
        <f>(D22-H5)/H6</f>
        <v>-0.42776268910079401</v>
      </c>
    </row>
    <row r="23" spans="1:16">
      <c r="A23" s="8" t="s">
        <v>27</v>
      </c>
      <c r="B23" s="9" t="s">
        <v>6</v>
      </c>
      <c r="C23" s="10">
        <v>41031</v>
      </c>
      <c r="D23" s="3">
        <v>722500</v>
      </c>
      <c r="J23" s="17" t="s">
        <v>27</v>
      </c>
      <c r="K23" s="18"/>
      <c r="L23" s="18"/>
      <c r="M23" s="18"/>
      <c r="N23" s="18"/>
      <c r="O23" s="18"/>
      <c r="P23" s="26">
        <f>(D23-H5)/H6</f>
        <v>-0.40998872635060041</v>
      </c>
    </row>
    <row r="24" spans="1:16">
      <c r="A24" s="8" t="s">
        <v>28</v>
      </c>
      <c r="B24" s="9" t="s">
        <v>6</v>
      </c>
      <c r="C24" s="10">
        <v>40668</v>
      </c>
      <c r="D24" s="3">
        <v>662500</v>
      </c>
      <c r="J24" s="17" t="s">
        <v>28</v>
      </c>
      <c r="K24" s="18"/>
      <c r="L24" s="18"/>
      <c r="M24" s="18"/>
      <c r="N24" s="18"/>
      <c r="O24" s="18"/>
      <c r="P24" s="26">
        <f>(D24-H5)/H6</f>
        <v>-0.41369163525689073</v>
      </c>
    </row>
    <row r="25" spans="1:16">
      <c r="A25" s="8" t="s">
        <v>29</v>
      </c>
      <c r="B25" s="9" t="s">
        <v>6</v>
      </c>
      <c r="C25" s="10">
        <v>40486</v>
      </c>
      <c r="D25" s="3">
        <v>386500</v>
      </c>
      <c r="J25" s="17" t="s">
        <v>29</v>
      </c>
      <c r="K25" s="18"/>
      <c r="L25" s="18"/>
      <c r="M25" s="18"/>
      <c r="N25" s="18"/>
      <c r="O25" s="18"/>
      <c r="P25" s="26">
        <f>(D25-H5)/H6</f>
        <v>-0.43072501622582626</v>
      </c>
    </row>
    <row r="26" spans="1:16">
      <c r="A26" s="8" t="s">
        <v>30</v>
      </c>
      <c r="B26" s="9" t="s">
        <v>6</v>
      </c>
      <c r="C26" s="10">
        <v>40485</v>
      </c>
      <c r="D26" s="3">
        <v>962500</v>
      </c>
      <c r="J26" s="17" t="s">
        <v>30</v>
      </c>
      <c r="K26" s="18"/>
      <c r="L26" s="18"/>
      <c r="M26" s="18"/>
      <c r="N26" s="18"/>
      <c r="O26" s="18"/>
      <c r="P26" s="26">
        <f>(D26-H5)/H6</f>
        <v>-0.39517709072543911</v>
      </c>
    </row>
    <row r="27" spans="1:16">
      <c r="A27" s="8" t="s">
        <v>31</v>
      </c>
      <c r="B27" s="9" t="s">
        <v>6</v>
      </c>
      <c r="C27" s="10">
        <v>40485</v>
      </c>
      <c r="D27" s="3">
        <v>3106500</v>
      </c>
      <c r="J27" s="17" t="s">
        <v>31</v>
      </c>
      <c r="K27" s="18"/>
      <c r="L27" s="18"/>
      <c r="M27" s="18"/>
      <c r="N27" s="18"/>
      <c r="O27" s="18"/>
      <c r="P27" s="26">
        <f>(D27-H5)/H6</f>
        <v>-0.26285981247399803</v>
      </c>
    </row>
    <row r="28" spans="1:16">
      <c r="A28" s="8" t="s">
        <v>32</v>
      </c>
      <c r="B28" s="9" t="s">
        <v>6</v>
      </c>
      <c r="C28" s="10">
        <v>40485</v>
      </c>
      <c r="D28" s="3">
        <v>3666500</v>
      </c>
      <c r="J28" s="17" t="s">
        <v>32</v>
      </c>
      <c r="K28" s="18"/>
      <c r="L28" s="18"/>
      <c r="M28" s="18"/>
      <c r="N28" s="18"/>
      <c r="O28" s="18"/>
      <c r="P28" s="26">
        <f>(D28-H5)/H6</f>
        <v>-0.22829932934862165</v>
      </c>
    </row>
    <row r="29" spans="1:16">
      <c r="A29" s="8" t="s">
        <v>33</v>
      </c>
      <c r="B29" s="9" t="s">
        <v>9</v>
      </c>
      <c r="C29" s="10">
        <v>40304</v>
      </c>
      <c r="D29" s="3">
        <v>842500</v>
      </c>
      <c r="J29" s="17" t="s">
        <v>33</v>
      </c>
      <c r="K29" s="18"/>
      <c r="L29" s="18"/>
      <c r="M29" s="18"/>
      <c r="N29" s="18"/>
      <c r="O29" s="18"/>
      <c r="P29" s="26">
        <f>(D29-H5)/H6</f>
        <v>-0.40258290853801976</v>
      </c>
    </row>
    <row r="30" spans="1:16">
      <c r="A30" s="8" t="s">
        <v>34</v>
      </c>
      <c r="B30" s="9" t="s">
        <v>6</v>
      </c>
      <c r="C30" s="10">
        <v>40120</v>
      </c>
      <c r="D30" s="3">
        <v>818500</v>
      </c>
      <c r="J30" s="17" t="s">
        <v>34</v>
      </c>
      <c r="K30" s="18"/>
      <c r="L30" s="18"/>
      <c r="M30" s="18"/>
      <c r="N30" s="18"/>
      <c r="O30" s="18"/>
      <c r="P30" s="26">
        <f>(D30-H5)/H6</f>
        <v>-0.40406407210053591</v>
      </c>
    </row>
    <row r="31" spans="1:16">
      <c r="A31" s="8" t="s">
        <v>35</v>
      </c>
      <c r="B31" s="9" t="s">
        <v>6</v>
      </c>
      <c r="C31" s="10">
        <v>39218</v>
      </c>
      <c r="D31" s="3">
        <v>480000</v>
      </c>
      <c r="J31" s="17" t="s">
        <v>35</v>
      </c>
      <c r="K31" s="18"/>
      <c r="L31" s="18"/>
      <c r="M31" s="18"/>
      <c r="N31" s="18"/>
      <c r="O31" s="18"/>
      <c r="P31" s="26">
        <f>(D31-H5)/H6</f>
        <v>-0.42495464984685716</v>
      </c>
    </row>
    <row r="32" spans="1:16">
      <c r="A32" s="8" t="s">
        <v>36</v>
      </c>
      <c r="B32" s="9" t="s">
        <v>6</v>
      </c>
      <c r="C32" s="10">
        <v>39218</v>
      </c>
      <c r="D32" s="3">
        <v>880000</v>
      </c>
      <c r="J32" s="17" t="s">
        <v>36</v>
      </c>
      <c r="K32" s="18"/>
      <c r="L32" s="18"/>
      <c r="M32" s="18"/>
      <c r="N32" s="18"/>
      <c r="O32" s="18"/>
      <c r="P32" s="26">
        <f>(D32-H5)/H6</f>
        <v>-0.4002685904715883</v>
      </c>
    </row>
    <row r="33" spans="1:16">
      <c r="A33" s="8" t="s">
        <v>37</v>
      </c>
      <c r="B33" s="9" t="s">
        <v>6</v>
      </c>
      <c r="C33" s="10">
        <v>39218</v>
      </c>
      <c r="D33" s="3">
        <v>936000</v>
      </c>
      <c r="J33" s="17" t="s">
        <v>37</v>
      </c>
      <c r="K33" s="18"/>
      <c r="L33" s="18"/>
      <c r="M33" s="18"/>
      <c r="N33" s="18"/>
      <c r="O33" s="18"/>
      <c r="P33" s="26">
        <f>(D33-H5)/H6</f>
        <v>-0.39681254215905065</v>
      </c>
    </row>
    <row r="34" spans="1:16">
      <c r="A34" s="8" t="s">
        <v>38</v>
      </c>
      <c r="B34" s="9" t="s">
        <v>6</v>
      </c>
      <c r="C34" s="10">
        <v>39218</v>
      </c>
      <c r="D34" s="3">
        <v>1160000</v>
      </c>
      <c r="J34" s="17" t="s">
        <v>38</v>
      </c>
      <c r="K34" s="18"/>
      <c r="L34" s="18"/>
      <c r="M34" s="18"/>
      <c r="N34" s="18"/>
      <c r="O34" s="18"/>
      <c r="P34" s="26">
        <f>(D34-H5)/H6</f>
        <v>-0.3829883489089001</v>
      </c>
    </row>
    <row r="35" spans="1:16">
      <c r="A35" s="8" t="s">
        <v>22</v>
      </c>
      <c r="B35" s="9" t="s">
        <v>6</v>
      </c>
      <c r="C35" s="10">
        <v>39218</v>
      </c>
      <c r="D35" s="3">
        <v>1272000</v>
      </c>
      <c r="J35" s="17" t="s">
        <v>22</v>
      </c>
      <c r="K35" s="18"/>
      <c r="L35" s="18"/>
      <c r="M35" s="18"/>
      <c r="N35" s="18"/>
      <c r="O35" s="18"/>
      <c r="P35" s="26">
        <f>(D35-H5)/H6</f>
        <v>-0.37607625228382485</v>
      </c>
    </row>
    <row r="36" spans="1:16">
      <c r="A36" s="8" t="s">
        <v>39</v>
      </c>
      <c r="B36" s="9" t="s">
        <v>6</v>
      </c>
      <c r="C36" s="10">
        <v>39218</v>
      </c>
      <c r="D36" s="3">
        <v>1608000</v>
      </c>
      <c r="J36" s="17" t="s">
        <v>39</v>
      </c>
      <c r="K36" s="18"/>
      <c r="L36" s="18"/>
      <c r="M36" s="18"/>
      <c r="N36" s="18"/>
      <c r="O36" s="18"/>
      <c r="P36" s="26">
        <f>(D36-H5)/H6</f>
        <v>-0.355339962408599</v>
      </c>
    </row>
    <row r="37" spans="1:16">
      <c r="A37" s="8" t="s">
        <v>40</v>
      </c>
      <c r="B37" s="9" t="s">
        <v>6</v>
      </c>
      <c r="C37" s="10">
        <v>39218</v>
      </c>
      <c r="D37" s="3">
        <v>4968000</v>
      </c>
      <c r="J37" s="17" t="s">
        <v>40</v>
      </c>
      <c r="K37" s="18"/>
      <c r="L37" s="18"/>
      <c r="M37" s="18"/>
      <c r="N37" s="18"/>
      <c r="O37" s="18"/>
      <c r="P37" s="26">
        <f>(D37-H5)/H6</f>
        <v>-0.14797706365634064</v>
      </c>
    </row>
    <row r="38" spans="1:16">
      <c r="A38" s="8" t="s">
        <v>41</v>
      </c>
      <c r="B38" s="9" t="s">
        <v>6</v>
      </c>
      <c r="C38" s="10">
        <v>39212</v>
      </c>
      <c r="D38" s="3">
        <v>1160000</v>
      </c>
      <c r="J38" s="17" t="s">
        <v>41</v>
      </c>
      <c r="K38" s="18"/>
      <c r="L38" s="18"/>
      <c r="M38" s="18"/>
      <c r="N38" s="18"/>
      <c r="O38" s="18"/>
      <c r="P38" s="26">
        <f>(D38-H5)/H6</f>
        <v>-0.3829883489089001</v>
      </c>
    </row>
    <row r="39" spans="1:16">
      <c r="A39" s="8" t="s">
        <v>42</v>
      </c>
      <c r="B39" s="9" t="s">
        <v>9</v>
      </c>
      <c r="C39" s="10">
        <v>39029</v>
      </c>
      <c r="D39" s="3">
        <v>296000</v>
      </c>
      <c r="J39" s="17" t="s">
        <v>42</v>
      </c>
      <c r="K39" s="18"/>
      <c r="L39" s="18"/>
      <c r="M39" s="18"/>
      <c r="N39" s="18"/>
      <c r="O39" s="18"/>
      <c r="P39" s="26">
        <f>(D39-H5)/H6</f>
        <v>-0.43631023715948086</v>
      </c>
    </row>
    <row r="40" spans="1:16">
      <c r="A40" s="8" t="s">
        <v>43</v>
      </c>
      <c r="B40" s="9" t="s">
        <v>44</v>
      </c>
      <c r="C40" s="10">
        <v>39028</v>
      </c>
      <c r="D40" s="3">
        <v>8976000</v>
      </c>
      <c r="J40" s="17" t="s">
        <v>43</v>
      </c>
      <c r="K40" s="18"/>
      <c r="L40" s="18"/>
      <c r="M40" s="18"/>
      <c r="N40" s="18"/>
      <c r="O40" s="18"/>
      <c r="P40" s="26">
        <f>(D40-H5)/H6</f>
        <v>9.937725128385326E-2</v>
      </c>
    </row>
    <row r="41" spans="1:16">
      <c r="A41" s="8" t="s">
        <v>45</v>
      </c>
      <c r="B41" s="9" t="s">
        <v>6</v>
      </c>
      <c r="C41" s="11">
        <v>38880</v>
      </c>
      <c r="D41" s="3">
        <v>4162962</v>
      </c>
      <c r="J41" s="17" t="s">
        <v>45</v>
      </c>
      <c r="K41" s="18"/>
      <c r="L41" s="18"/>
      <c r="M41" s="18"/>
      <c r="N41" s="18"/>
      <c r="O41" s="18"/>
      <c r="P41" s="26">
        <f>(D41-H5)/H6</f>
        <v>-0.19766010332470985</v>
      </c>
    </row>
    <row r="42" spans="1:16">
      <c r="A42" s="8" t="s">
        <v>46</v>
      </c>
      <c r="B42" s="9" t="s">
        <v>9</v>
      </c>
      <c r="C42" s="10">
        <v>38840</v>
      </c>
      <c r="D42" s="3">
        <v>4720000</v>
      </c>
      <c r="J42" s="17" t="s">
        <v>46</v>
      </c>
      <c r="K42" s="18"/>
      <c r="L42" s="18"/>
      <c r="M42" s="18"/>
      <c r="N42" s="18"/>
      <c r="O42" s="18"/>
      <c r="P42" s="26">
        <f>(D42-H5)/H6</f>
        <v>-0.16328242046900732</v>
      </c>
    </row>
    <row r="43" spans="1:16">
      <c r="A43" s="8" t="s">
        <v>47</v>
      </c>
      <c r="B43" s="9" t="s">
        <v>6</v>
      </c>
      <c r="C43" s="10">
        <v>38839</v>
      </c>
      <c r="D43" s="3">
        <v>40336000</v>
      </c>
      <c r="J43" s="17" t="s">
        <v>47</v>
      </c>
      <c r="K43" s="18"/>
      <c r="L43" s="18"/>
      <c r="M43" s="18"/>
      <c r="N43" s="18"/>
      <c r="O43" s="18"/>
      <c r="P43" s="27">
        <f>(D43-H5)/H6</f>
        <v>2.0347643063049312</v>
      </c>
    </row>
    <row r="44" spans="1:16">
      <c r="A44" s="8" t="s">
        <v>40</v>
      </c>
      <c r="B44" s="9" t="s">
        <v>6</v>
      </c>
      <c r="C44" s="10">
        <v>38476</v>
      </c>
      <c r="D44" s="3">
        <v>2704000</v>
      </c>
      <c r="J44" s="20" t="s">
        <v>40</v>
      </c>
      <c r="K44" s="21"/>
      <c r="L44" s="21"/>
      <c r="M44" s="21"/>
      <c r="N44" s="21"/>
      <c r="O44" s="21"/>
      <c r="P44" s="28">
        <f>(D44-H5)/H6</f>
        <v>-0.28770015972036234</v>
      </c>
    </row>
  </sheetData>
  <mergeCells count="43">
    <mergeCell ref="J44:O44"/>
    <mergeCell ref="J3:P3"/>
    <mergeCell ref="J38:O38"/>
    <mergeCell ref="J39:O39"/>
    <mergeCell ref="J40:O40"/>
    <mergeCell ref="J41:O41"/>
    <mergeCell ref="J42:O42"/>
    <mergeCell ref="J43:O43"/>
    <mergeCell ref="J32:O32"/>
    <mergeCell ref="J33:O33"/>
    <mergeCell ref="J34:O34"/>
    <mergeCell ref="J35:O35"/>
    <mergeCell ref="J36:O36"/>
    <mergeCell ref="J37:O37"/>
    <mergeCell ref="J26:O26"/>
    <mergeCell ref="J27:O27"/>
    <mergeCell ref="J28:O28"/>
    <mergeCell ref="J29:O29"/>
    <mergeCell ref="J30:O30"/>
    <mergeCell ref="J31:O31"/>
    <mergeCell ref="J20:O20"/>
    <mergeCell ref="J21:O21"/>
    <mergeCell ref="J22:O22"/>
    <mergeCell ref="J23:O23"/>
    <mergeCell ref="J24:O24"/>
    <mergeCell ref="J25:O25"/>
    <mergeCell ref="J14:O14"/>
    <mergeCell ref="J15:O15"/>
    <mergeCell ref="J16:O16"/>
    <mergeCell ref="J17:O17"/>
    <mergeCell ref="J18:O18"/>
    <mergeCell ref="J19:O19"/>
    <mergeCell ref="J8:O8"/>
    <mergeCell ref="J9:O9"/>
    <mergeCell ref="J10:O10"/>
    <mergeCell ref="J11:O11"/>
    <mergeCell ref="J12:O12"/>
    <mergeCell ref="J13:O13"/>
    <mergeCell ref="F3:H3"/>
    <mergeCell ref="J4:O4"/>
    <mergeCell ref="J5:O5"/>
    <mergeCell ref="J6:O6"/>
    <mergeCell ref="J7:O7"/>
  </mergeCells>
  <hyperlinks>
    <hyperlink ref="A5" r:id="rId1" xr:uid="{00000000-0004-0000-0000-000000000000}"/>
    <hyperlink ref="A4" r:id="rId2" xr:uid="{00000000-0004-0000-0000-000001000000}"/>
    <hyperlink ref="A6" r:id="rId3" xr:uid="{00000000-0004-0000-0000-000002000000}"/>
    <hyperlink ref="A7" r:id="rId4" xr:uid="{00000000-0004-0000-0000-000003000000}"/>
    <hyperlink ref="A8" r:id="rId5" xr:uid="{00000000-0004-0000-0000-000004000000}"/>
    <hyperlink ref="A9" r:id="rId6" xr:uid="{00000000-0004-0000-0000-000005000000}"/>
    <hyperlink ref="A11" r:id="rId7" xr:uid="{00000000-0004-0000-0000-000006000000}"/>
    <hyperlink ref="A10" r:id="rId8" xr:uid="{00000000-0004-0000-0000-000007000000}"/>
    <hyperlink ref="A13" r:id="rId9" xr:uid="{00000000-0004-0000-0000-000008000000}"/>
    <hyperlink ref="A12" r:id="rId10" xr:uid="{00000000-0004-0000-0000-000009000000}"/>
    <hyperlink ref="A14" r:id="rId11" xr:uid="{00000000-0004-0000-0000-00000A000000}"/>
    <hyperlink ref="A16" r:id="rId12" xr:uid="{00000000-0004-0000-0000-00000B000000}"/>
    <hyperlink ref="A15" r:id="rId13" xr:uid="{00000000-0004-0000-0000-00000C000000}"/>
    <hyperlink ref="A18" r:id="rId14" xr:uid="{00000000-0004-0000-0000-00000D000000}"/>
    <hyperlink ref="A19" r:id="rId15" xr:uid="{00000000-0004-0000-0000-00000E000000}"/>
    <hyperlink ref="A17" r:id="rId16" xr:uid="{00000000-0004-0000-0000-00000F000000}"/>
    <hyperlink ref="A21" r:id="rId17" xr:uid="{00000000-0004-0000-0000-000010000000}"/>
    <hyperlink ref="A20" r:id="rId18" xr:uid="{00000000-0004-0000-0000-000011000000}"/>
    <hyperlink ref="A22" r:id="rId19" xr:uid="{00000000-0004-0000-0000-000012000000}"/>
    <hyperlink ref="A23" r:id="rId20" xr:uid="{00000000-0004-0000-0000-000013000000}"/>
    <hyperlink ref="A24" r:id="rId21" xr:uid="{00000000-0004-0000-0000-000014000000}"/>
    <hyperlink ref="A25" r:id="rId22" xr:uid="{00000000-0004-0000-0000-000015000000}"/>
    <hyperlink ref="A26" r:id="rId23" xr:uid="{00000000-0004-0000-0000-000016000000}"/>
    <hyperlink ref="A28" r:id="rId24" xr:uid="{00000000-0004-0000-0000-000017000000}"/>
    <hyperlink ref="A27" r:id="rId25" xr:uid="{00000000-0004-0000-0000-000018000000}"/>
    <hyperlink ref="A29" r:id="rId26" xr:uid="{00000000-0004-0000-0000-000019000000}"/>
    <hyperlink ref="A30" r:id="rId27" xr:uid="{00000000-0004-0000-0000-00001A000000}"/>
    <hyperlink ref="A38" r:id="rId28" xr:uid="{00000000-0004-0000-0000-00001B000000}"/>
    <hyperlink ref="A35" r:id="rId29" xr:uid="{00000000-0004-0000-0000-00001C000000}"/>
    <hyperlink ref="A36" r:id="rId30" xr:uid="{00000000-0004-0000-0000-00001D000000}"/>
    <hyperlink ref="A37" r:id="rId31" xr:uid="{00000000-0004-0000-0000-00001E000000}"/>
    <hyperlink ref="A34" r:id="rId32" xr:uid="{00000000-0004-0000-0000-00001F000000}"/>
    <hyperlink ref="A32" r:id="rId33" xr:uid="{00000000-0004-0000-0000-000020000000}"/>
    <hyperlink ref="A33" r:id="rId34" xr:uid="{00000000-0004-0000-0000-000021000000}"/>
    <hyperlink ref="A31" r:id="rId35" xr:uid="{00000000-0004-0000-0000-000022000000}"/>
    <hyperlink ref="A39" r:id="rId36" xr:uid="{00000000-0004-0000-0000-000023000000}"/>
    <hyperlink ref="A40" r:id="rId37" xr:uid="{00000000-0004-0000-0000-000024000000}"/>
    <hyperlink ref="A41" r:id="rId38" xr:uid="{00000000-0004-0000-0000-000025000000}"/>
    <hyperlink ref="A42" r:id="rId39" xr:uid="{00000000-0004-0000-0000-000026000000}"/>
    <hyperlink ref="A43" r:id="rId40" xr:uid="{00000000-0004-0000-0000-000027000000}"/>
    <hyperlink ref="A44" r:id="rId41" xr:uid="{00000000-0004-0000-0000-000028000000}"/>
    <hyperlink ref="J5" r:id="rId42" xr:uid="{7F190100-C155-401F-BAEF-8EF8790016CE}"/>
    <hyperlink ref="J4" r:id="rId43" xr:uid="{5F7056DF-3C65-4E7E-83DA-8722BCF8E327}"/>
    <hyperlink ref="J6" r:id="rId44" xr:uid="{6C43AA58-C396-4522-B9CD-E75E2783C76D}"/>
    <hyperlink ref="J7" r:id="rId45" xr:uid="{39E5F725-CC03-4926-BA6E-935DDC3DB7AF}"/>
    <hyperlink ref="J8" r:id="rId46" xr:uid="{0E0C0ECE-4527-4E8C-8B65-73618EAFB12E}"/>
    <hyperlink ref="J9" r:id="rId47" xr:uid="{CE751D59-CEF7-455C-909B-21DC8333A448}"/>
    <hyperlink ref="J11" r:id="rId48" xr:uid="{BAFAFC68-0144-47E1-AA31-D8153DC50825}"/>
    <hyperlink ref="J10" r:id="rId49" xr:uid="{962F698E-DC8A-463A-B9EC-1A01169A6520}"/>
    <hyperlink ref="J13" r:id="rId50" xr:uid="{8B7D1AC5-CDD3-4C3A-837F-0BEAC6EF4AA0}"/>
    <hyperlink ref="J12" r:id="rId51" xr:uid="{43062181-A857-4C5F-99D9-28566D1F9137}"/>
    <hyperlink ref="J14" r:id="rId52" xr:uid="{2C630269-4066-4116-8FFE-AEF0B79E6458}"/>
    <hyperlink ref="J16" r:id="rId53" xr:uid="{094D2F6C-2B96-459B-9AE2-9A86932BC683}"/>
    <hyperlink ref="J15" r:id="rId54" xr:uid="{53497696-19FB-49D4-8E22-EE624610B2EF}"/>
    <hyperlink ref="J18" r:id="rId55" xr:uid="{B226C01D-CA4B-45FB-87C9-4BE495F08271}"/>
    <hyperlink ref="J19" r:id="rId56" xr:uid="{35BCDD34-5D86-436D-8DC3-D19E9B465D83}"/>
    <hyperlink ref="J17" r:id="rId57" xr:uid="{A878438A-4A6B-4382-A195-3B21385E7FC7}"/>
    <hyperlink ref="J21" r:id="rId58" xr:uid="{097C6452-79D9-481E-B9E5-36D820ED0E2B}"/>
    <hyperlink ref="J20" r:id="rId59" xr:uid="{41BC8646-29D7-468B-B6FD-D4094A8580F9}"/>
    <hyperlink ref="J22" r:id="rId60" xr:uid="{95180CCA-15EE-4632-92CD-5230FC260466}"/>
    <hyperlink ref="J23" r:id="rId61" xr:uid="{8A00BD61-72FB-42FD-9B6F-ED43D68F6637}"/>
    <hyperlink ref="J24" r:id="rId62" xr:uid="{D63424F7-73C7-4235-BD49-8E289CE4FE8F}"/>
    <hyperlink ref="J25" r:id="rId63" xr:uid="{988103B3-1331-44AC-A3C1-58EBFF0B8D1B}"/>
    <hyperlink ref="J26" r:id="rId64" xr:uid="{D133A459-9F77-46F0-BA23-D8DA23853636}"/>
    <hyperlink ref="J28" r:id="rId65" xr:uid="{8E9DF029-16BD-4DE8-B1B0-7CADB8417E0F}"/>
    <hyperlink ref="J27" r:id="rId66" xr:uid="{8ECF1CCD-325F-490F-8851-25D9FDBE193C}"/>
    <hyperlink ref="J29" r:id="rId67" xr:uid="{2856948F-DD45-4442-9398-5797F4885CD5}"/>
    <hyperlink ref="J30" r:id="rId68" xr:uid="{6688E644-7E2F-4632-936D-FBF74209BF5A}"/>
    <hyperlink ref="J38" r:id="rId69" xr:uid="{F88B40F6-8D6C-4E73-9215-1F0AAB8CA7E1}"/>
    <hyperlink ref="J35" r:id="rId70" xr:uid="{90479430-97D7-4D11-A595-106ADF90CE51}"/>
    <hyperlink ref="J36" r:id="rId71" xr:uid="{60928FF3-2AEE-4EA6-AA9C-E6A40B9CBF00}"/>
    <hyperlink ref="J37" r:id="rId72" xr:uid="{63A14A59-B026-40E0-BC88-349BEC73513B}"/>
    <hyperlink ref="J34" r:id="rId73" xr:uid="{C874E3F5-BAA0-439F-A3D8-829064DB22A7}"/>
    <hyperlink ref="J32" r:id="rId74" xr:uid="{3AA18DE3-C4D9-41AD-9F85-0ACE4F409E7B}"/>
    <hyperlink ref="J33" r:id="rId75" xr:uid="{0E8F7D3E-A630-4204-BB60-6054B6142E47}"/>
    <hyperlink ref="J31" r:id="rId76" xr:uid="{01A166FF-B276-42E2-8D9E-7FE475808128}"/>
    <hyperlink ref="J39" r:id="rId77" xr:uid="{D92A9F9F-830E-4048-A877-402784764A99}"/>
    <hyperlink ref="J40" r:id="rId78" xr:uid="{1CB9C281-514B-442F-B9F3-4E3B126F2D25}"/>
    <hyperlink ref="J41" r:id="rId79" xr:uid="{1923C8DA-2815-4220-9963-4ECC59097EDB}"/>
    <hyperlink ref="J42" r:id="rId80" xr:uid="{0B3BD975-69F5-45C6-A801-273E2D3D90FE}"/>
    <hyperlink ref="J43" r:id="rId81" xr:uid="{EEFDB648-03E1-41CD-9E0D-BC740D99F476}"/>
    <hyperlink ref="J44" r:id="rId82" xr:uid="{D45A71D9-5EB9-4BA8-B274-C88F597BBC93}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Sotillo</dc:creator>
  <cp:lastModifiedBy>Skylar Valerio</cp:lastModifiedBy>
  <dcterms:created xsi:type="dcterms:W3CDTF">2016-10-21T14:31:07Z</dcterms:created>
  <dcterms:modified xsi:type="dcterms:W3CDTF">2019-09-10T03:36:34Z</dcterms:modified>
</cp:coreProperties>
</file>