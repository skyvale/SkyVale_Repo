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shmerry/Desktop/"/>
    </mc:Choice>
  </mc:AlternateContent>
  <xr:revisionPtr revIDLastSave="0" documentId="13_ncr:1_{580F495B-6F3B-2148-895E-2FC83892057E}" xr6:coauthVersionLast="44" xr6:coauthVersionMax="44" xr10:uidLastSave="{00000000-0000-0000-0000-000000000000}"/>
  <bookViews>
    <workbookView xWindow="0" yWindow="460" windowWidth="33100" windowHeight="18580" xr2:uid="{64EF1311-79D9-6144-A15E-DAA11CD23358}"/>
  </bookViews>
  <sheets>
    <sheet name="Sheet1" sheetId="1" r:id="rId1"/>
  </sheets>
  <definedNames>
    <definedName name="_xlchart.v1.0" hidden="1">Sheet1!$Y$37:$Y$40</definedName>
    <definedName name="_xlchart.v1.1" hidden="1">Sheet1!$Z$37:$Z$40</definedName>
    <definedName name="_xlchart.v1.10" hidden="1">Sheet1!$AH$18:$AH$36</definedName>
    <definedName name="_xlchart.v1.11" hidden="1">Sheet1!$AI$17</definedName>
    <definedName name="_xlchart.v1.12" hidden="1">Sheet1!$AI$18:$AI$36</definedName>
    <definedName name="_xlchart.v1.13" hidden="1">Sheet1!$AJ$17</definedName>
    <definedName name="_xlchart.v1.14" hidden="1">Sheet1!$AJ$18:$AJ$36</definedName>
    <definedName name="_xlchart.v1.15" hidden="1">Sheet1!$Y$37:$Y$40</definedName>
    <definedName name="_xlchart.v1.16" hidden="1">Sheet1!$Z$37:$Z$40</definedName>
    <definedName name="_xlchart.v1.2" hidden="1">Sheet1!$Y$37:$Y$40</definedName>
    <definedName name="_xlchart.v1.3" hidden="1">Sheet1!$Z$37:$Z$40</definedName>
    <definedName name="_xlchart.v1.4" hidden="1">Sheet1!$Y$37:$Y$40</definedName>
    <definedName name="_xlchart.v1.5" hidden="1">Sheet1!$Z$37:$Z$40</definedName>
    <definedName name="_xlchart.v1.6" hidden="1">Sheet1!$AE$18:$AF$36</definedName>
    <definedName name="_xlchart.v1.7" hidden="1">Sheet1!$AG$17</definedName>
    <definedName name="_xlchart.v1.8" hidden="1">Sheet1!$AG$18:$AG$36</definedName>
    <definedName name="_xlchart.v1.9" hidden="1">Sheet1!$AH$17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U2" i="1"/>
  <c r="T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2" i="1"/>
</calcChain>
</file>

<file path=xl/sharedStrings.xml><?xml version="1.0" encoding="utf-8"?>
<sst xmlns="http://schemas.openxmlformats.org/spreadsheetml/2006/main" count="348" uniqueCount="113">
  <si>
    <t>Title</t>
  </si>
  <si>
    <t>Year</t>
  </si>
  <si>
    <t>Studio</t>
  </si>
  <si>
    <t>Genre</t>
  </si>
  <si>
    <t>IP</t>
  </si>
  <si>
    <t>Rating</t>
  </si>
  <si>
    <t>Star Wars: The Force Awakens</t>
  </si>
  <si>
    <t>Avengers: Endgame</t>
  </si>
  <si>
    <t>Avatar</t>
  </si>
  <si>
    <t>Black Panther</t>
  </si>
  <si>
    <t>Avengers: Infinity War</t>
  </si>
  <si>
    <t>Titanic</t>
  </si>
  <si>
    <t>Jurassic World</t>
  </si>
  <si>
    <t>Marvel's The Avengers</t>
  </si>
  <si>
    <t>Star Wars: The Last Jedi</t>
  </si>
  <si>
    <t>Incredibles 2</t>
  </si>
  <si>
    <t>The Dark Knight</t>
  </si>
  <si>
    <t>Rogue One: A Star Wars Story</t>
  </si>
  <si>
    <t>The Lion King (2019)</t>
  </si>
  <si>
    <t>Beauty and the Beast</t>
  </si>
  <si>
    <t>Finding Dory</t>
  </si>
  <si>
    <t>Star Wars: Episode I - The Phantom Menace</t>
  </si>
  <si>
    <t>Star Wars</t>
  </si>
  <si>
    <t>Avengers: Age of Ultron</t>
  </si>
  <si>
    <t>The Dark Knight Rises</t>
  </si>
  <si>
    <t>Shrek 2</t>
  </si>
  <si>
    <t>E.T: The Extra-Terrestrial</t>
  </si>
  <si>
    <t>Toy Story 4</t>
  </si>
  <si>
    <t>Captain Marvel</t>
  </si>
  <si>
    <t>The Hunger Games: Catching Fire</t>
  </si>
  <si>
    <t>Pirates of the Caribbean: Dead Man's Chest</t>
  </si>
  <si>
    <t>The Lion King</t>
  </si>
  <si>
    <t>Jurassic World: Fallen Kingdom</t>
  </si>
  <si>
    <t>Toy Story 3</t>
  </si>
  <si>
    <t>Wonder Woman</t>
  </si>
  <si>
    <t>Iron Man 3</t>
  </si>
  <si>
    <t>Captain America: Civil War</t>
  </si>
  <si>
    <t>The Hunger Games</t>
  </si>
  <si>
    <t>Jumanji: Welcome to the Jungle</t>
  </si>
  <si>
    <t>Spider-Man</t>
  </si>
  <si>
    <t>Jurassic Park</t>
  </si>
  <si>
    <t>Transformers: Revenge of the Fallen</t>
  </si>
  <si>
    <t>Frozen</t>
  </si>
  <si>
    <t>Guardians of the Galaxy Vol. 2</t>
  </si>
  <si>
    <t>Spider-Man: Far from Home</t>
  </si>
  <si>
    <t>Harry Potter and the Deathly Hallows Part 2</t>
  </si>
  <si>
    <t>Finding Nemo</t>
  </si>
  <si>
    <t>The Lord of the Rings: The Return of the King</t>
  </si>
  <si>
    <t>Spider-Man 2</t>
  </si>
  <si>
    <t>The Passion of the Christ</t>
  </si>
  <si>
    <t>The Secret Life of Pets</t>
  </si>
  <si>
    <t>Despicable Me 2</t>
  </si>
  <si>
    <t>The Jungle Book (2016)</t>
  </si>
  <si>
    <t>Deadpool</t>
  </si>
  <si>
    <t>Inside Out</t>
  </si>
  <si>
    <t>BV</t>
  </si>
  <si>
    <t>Fox</t>
  </si>
  <si>
    <t>Par.</t>
  </si>
  <si>
    <t>Uni.</t>
  </si>
  <si>
    <t>WB</t>
  </si>
  <si>
    <t>DW</t>
  </si>
  <si>
    <t>LGF</t>
  </si>
  <si>
    <t>Sony</t>
  </si>
  <si>
    <t>P/DW</t>
  </si>
  <si>
    <t>NL</t>
  </si>
  <si>
    <t>NM</t>
  </si>
  <si>
    <t>PG-13</t>
  </si>
  <si>
    <t>AA</t>
  </si>
  <si>
    <t>R</t>
  </si>
  <si>
    <t>A</t>
  </si>
  <si>
    <t>PG</t>
  </si>
  <si>
    <t>F</t>
  </si>
  <si>
    <t>SF</t>
  </si>
  <si>
    <t>Science Fiction</t>
  </si>
  <si>
    <t>Action Adventure</t>
  </si>
  <si>
    <t>Fantasy</t>
  </si>
  <si>
    <t>G</t>
  </si>
  <si>
    <t>Animation</t>
  </si>
  <si>
    <t>AN</t>
  </si>
  <si>
    <t>N</t>
  </si>
  <si>
    <t>Genre Key</t>
  </si>
  <si>
    <t>H</t>
  </si>
  <si>
    <t>Horror</t>
  </si>
  <si>
    <t>D</t>
  </si>
  <si>
    <t>Drama</t>
  </si>
  <si>
    <t>Star Wars: Episode III - Revenge of the Sith</t>
  </si>
  <si>
    <t>C</t>
  </si>
  <si>
    <t>Comedy</t>
  </si>
  <si>
    <t>Y</t>
  </si>
  <si>
    <t>Budget (mil)</t>
  </si>
  <si>
    <t>US Box Office (mil)</t>
  </si>
  <si>
    <t>R1</t>
  </si>
  <si>
    <t>PG13</t>
  </si>
  <si>
    <t>Summary Tables</t>
  </si>
  <si>
    <t>Rating Distribution</t>
  </si>
  <si>
    <t>0-50</t>
  </si>
  <si>
    <t>51-100</t>
  </si>
  <si>
    <t>101-150</t>
  </si>
  <si>
    <t>151-200</t>
  </si>
  <si>
    <t>201-250</t>
  </si>
  <si>
    <t>&gt;250</t>
  </si>
  <si>
    <t>Budget Distribution</t>
  </si>
  <si>
    <t>Genre Distribution</t>
  </si>
  <si>
    <t>IP Distribution</t>
  </si>
  <si>
    <t>&gt; 1999</t>
  </si>
  <si>
    <t xml:space="preserve">Yearly Distribution </t>
  </si>
  <si>
    <t>0-100</t>
  </si>
  <si>
    <t>101-200</t>
  </si>
  <si>
    <t>201-300</t>
  </si>
  <si>
    <t>300+</t>
  </si>
  <si>
    <t>Box Office  Distribution</t>
  </si>
  <si>
    <t>Top 20 Movies based on R1</t>
  </si>
  <si>
    <t>Top 20 Movies based on 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</si>
</sst>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theme="0"/>
      <name val="Calibri (Body)"/>
    </font>
    <font>
      <sz val="12"/>
      <color theme="0"/>
      <name val="Calibri (Body)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206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3" fillId="0" borderId="0" xfId="0" applyFont="1" applyAlignment="1">
      <alignment horizontal="center"/>
    </xf>
    <xf numFmtId="0" fontId="0" fillId="0" borderId="0" xfId="0" applyBorder="1"/>
    <xf numFmtId="0" fontId="3" fillId="0" borderId="7" xfId="0" applyFont="1" applyBorder="1" applyAlignment="1">
      <alignment horizontal="center"/>
    </xf>
    <xf numFmtId="0" fontId="0" fillId="0" borderId="6" xfId="0" applyBorder="1"/>
    <xf numFmtId="0" fontId="0" fillId="0" borderId="9" xfId="0" applyBorder="1"/>
    <xf numFmtId="0" fontId="3" fillId="0" borderId="5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0" fillId="0" borderId="5" xfId="0" applyBorder="1"/>
    <xf numFmtId="0" fontId="0" fillId="0" borderId="8" xfId="0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0" xfId="0" applyBorder="1" applyAlignment="1">
      <alignment horizontal="center"/>
    </xf>
    <xf numFmtId="2" fontId="3" fillId="0" borderId="5" xfId="0" applyNumberFormat="1" applyFont="1" applyBorder="1" applyAlignment="1">
      <alignment horizontal="center"/>
    </xf>
    <xf numFmtId="2" fontId="3" fillId="0" borderId="6" xfId="0" applyNumberFormat="1" applyFont="1" applyBorder="1" applyAlignment="1">
      <alignment horizontal="center"/>
    </xf>
    <xf numFmtId="2" fontId="3" fillId="0" borderId="7" xfId="0" applyNumberFormat="1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2" fontId="3" fillId="0" borderId="5" xfId="0" applyNumberFormat="1" applyFont="1" applyBorder="1" applyAlignment="1">
      <alignment horizontal="center"/>
    </xf>
    <xf numFmtId="2" fontId="3" fillId="0" borderId="6" xfId="0" applyNumberFormat="1" applyFont="1" applyBorder="1" applyAlignment="1">
      <alignment horizontal="center"/>
    </xf>
    <xf numFmtId="2" fontId="3" fillId="0" borderId="7" xfId="0" applyNumberFormat="1" applyFont="1" applyBorder="1" applyAlignment="1">
      <alignment horizontal="center"/>
    </xf>
    <xf numFmtId="2" fontId="3" fillId="0" borderId="9" xfId="0" applyNumberFormat="1" applyFont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2" fontId="3" fillId="0" borderId="2" xfId="0" applyNumberFormat="1" applyFont="1" applyBorder="1" applyAlignment="1">
      <alignment horizontal="center"/>
    </xf>
    <xf numFmtId="2" fontId="3" fillId="0" borderId="4" xfId="0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8" xfId="0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0" fillId="0" borderId="7" xfId="0" applyBorder="1"/>
    <xf numFmtId="0" fontId="0" fillId="3" borderId="4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2" fontId="3" fillId="0" borderId="0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0" fillId="0" borderId="8" xfId="0" applyBorder="1"/>
    <xf numFmtId="0" fontId="2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Rating</a:t>
            </a:r>
            <a:r>
              <a:rPr lang="en-US" baseline="0"/>
              <a:t>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>
                  <a:shade val="58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E89-304A-BFF8-86B8BD420B5A}"/>
              </c:ext>
            </c:extLst>
          </c:dPt>
          <c:dPt>
            <c:idx val="1"/>
            <c:bubble3D val="0"/>
            <c:spPr>
              <a:solidFill>
                <a:schemeClr val="accent2">
                  <a:shade val="8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E89-304A-BFF8-86B8BD420B5A}"/>
              </c:ext>
            </c:extLst>
          </c:dPt>
          <c:dPt>
            <c:idx val="2"/>
            <c:bubble3D val="0"/>
            <c:spPr>
              <a:solidFill>
                <a:schemeClr val="accent2">
                  <a:tint val="8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9E89-304A-BFF8-86B8BD420B5A}"/>
              </c:ext>
            </c:extLst>
          </c:dPt>
          <c:dPt>
            <c:idx val="3"/>
            <c:bubble3D val="0"/>
            <c:spPr>
              <a:solidFill>
                <a:schemeClr val="accent2">
                  <a:tint val="58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9E89-304A-BFF8-86B8BD420B5A}"/>
              </c:ext>
            </c:extLst>
          </c:dPt>
          <c:dLbls>
            <c:dLbl>
              <c:idx val="0"/>
              <c:layout>
                <c:manualLayout>
                  <c:x val="-5.7126656546504756E-2"/>
                  <c:y val="0.16812275935584747"/>
                </c:manualLayout>
              </c:layout>
              <c:spPr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9238083111333055E-2"/>
                      <c:h val="7.53254118314247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E89-304A-BFF8-86B8BD420B5A}"/>
                </c:ext>
              </c:extLst>
            </c:dLbl>
            <c:dLbl>
              <c:idx val="1"/>
              <c:spPr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9E89-304A-BFF8-86B8BD420B5A}"/>
                </c:ext>
              </c:extLst>
            </c:dLbl>
            <c:dLbl>
              <c:idx val="2"/>
              <c:spPr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9E89-304A-BFF8-86B8BD420B5A}"/>
                </c:ext>
              </c:extLst>
            </c:dLbl>
            <c:dLbl>
              <c:idx val="3"/>
              <c:layout>
                <c:manualLayout>
                  <c:x val="3.4824233477310215E-2"/>
                  <c:y val="0.24519444702637769"/>
                </c:manualLayout>
              </c:layout>
              <c:spPr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9238083111333055E-2"/>
                      <c:h val="6.934839979621683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9E89-304A-BFF8-86B8BD420B5A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Sheet1!$Y$18:$Y$21</c:f>
              <c:strCache>
                <c:ptCount val="4"/>
                <c:pt idx="0">
                  <c:v>G</c:v>
                </c:pt>
                <c:pt idx="1">
                  <c:v>PG</c:v>
                </c:pt>
                <c:pt idx="2">
                  <c:v>PG13</c:v>
                </c:pt>
                <c:pt idx="3">
                  <c:v>R</c:v>
                </c:pt>
              </c:strCache>
            </c:strRef>
          </c:cat>
          <c:val>
            <c:numRef>
              <c:f>Sheet1!$Z$18:$Z$21</c:f>
              <c:numCache>
                <c:formatCode>General</c:formatCode>
                <c:ptCount val="4"/>
                <c:pt idx="0">
                  <c:v>4</c:v>
                </c:pt>
                <c:pt idx="1">
                  <c:v>12</c:v>
                </c:pt>
                <c:pt idx="2">
                  <c:v>32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89-304A-BFF8-86B8BD420B5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471763181501047"/>
          <c:y val="0.5468370359955006"/>
          <c:w val="0.13502920362802751"/>
          <c:h val="0.36458473940757408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Budget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Sheet1!$Y$28:$Y$33</c:f>
              <c:strCache>
                <c:ptCount val="6"/>
                <c:pt idx="0">
                  <c:v>0-50</c:v>
                </c:pt>
                <c:pt idx="1">
                  <c:v>51-100</c:v>
                </c:pt>
                <c:pt idx="2">
                  <c:v>101-150</c:v>
                </c:pt>
                <c:pt idx="3">
                  <c:v>151-200</c:v>
                </c:pt>
                <c:pt idx="4">
                  <c:v>201-250</c:v>
                </c:pt>
                <c:pt idx="5">
                  <c:v>&gt;250</c:v>
                </c:pt>
              </c:strCache>
            </c:strRef>
          </c:cat>
          <c:val>
            <c:numRef>
              <c:f>Sheet1!$Z$28:$Z$33</c:f>
              <c:numCache>
                <c:formatCode>General</c:formatCode>
                <c:ptCount val="6"/>
                <c:pt idx="0">
                  <c:v>5</c:v>
                </c:pt>
                <c:pt idx="1">
                  <c:v>8</c:v>
                </c:pt>
                <c:pt idx="2">
                  <c:v>8</c:v>
                </c:pt>
                <c:pt idx="3">
                  <c:v>18</c:v>
                </c:pt>
                <c:pt idx="4">
                  <c:v>8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20-E348-AE3F-52C9868B78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707112592"/>
        <c:axId val="1707114224"/>
      </c:barChart>
      <c:catAx>
        <c:axId val="1707112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Budget</a:t>
                </a:r>
                <a:r>
                  <a:rPr lang="en-US" baseline="0"/>
                  <a:t> (in millions)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114224"/>
        <c:crosses val="autoZero"/>
        <c:auto val="1"/>
        <c:lblAlgn val="ctr"/>
        <c:lblOffset val="100"/>
        <c:noMultiLvlLbl val="0"/>
      </c:catAx>
      <c:valAx>
        <c:axId val="17071142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</a:t>
                </a:r>
                <a:r>
                  <a:rPr lang="en-US" baseline="0"/>
                  <a:t> Movies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112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Genre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>
                  <a:shade val="47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>
                  <a:shade val="6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2">
                  <a:shade val="82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2">
                  <a:tint val="83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B50-C948-BB19-2C7F2FE29AF1}"/>
              </c:ext>
            </c:extLst>
          </c:dPt>
          <c:dPt>
            <c:idx val="5"/>
            <c:bubble3D val="0"/>
            <c:spPr>
              <a:solidFill>
                <a:schemeClr val="accent2">
                  <a:tint val="6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8B50-C948-BB19-2C7F2FE29AF1}"/>
              </c:ext>
            </c:extLst>
          </c:dPt>
          <c:dPt>
            <c:idx val="6"/>
            <c:bubble3D val="0"/>
            <c:spPr>
              <a:solidFill>
                <a:schemeClr val="accent2">
                  <a:tint val="48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B50-C948-BB19-2C7F2FE29AF1}"/>
              </c:ext>
            </c:extLst>
          </c:dPt>
          <c:dLbls>
            <c:dLbl>
              <c:idx val="4"/>
              <c:layout>
                <c:manualLayout>
                  <c:x val="3.7482044739987667E-2"/>
                  <c:y val="0.19745400984226269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B50-C948-BB19-2C7F2FE29AF1}"/>
                </c:ext>
              </c:extLst>
            </c:dLbl>
            <c:dLbl>
              <c:idx val="5"/>
              <c:layout>
                <c:manualLayout>
                  <c:x val="8.2569083804606598E-3"/>
                  <c:y val="0.13825545799064209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B50-C948-BB19-2C7F2FE29AF1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B50-C948-BB19-2C7F2FE29AF1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Sheet1!$AB$18:$AB$24</c:f>
              <c:strCache>
                <c:ptCount val="7"/>
                <c:pt idx="0">
                  <c:v>AA</c:v>
                </c:pt>
                <c:pt idx="1">
                  <c:v>A</c:v>
                </c:pt>
                <c:pt idx="2">
                  <c:v>SF</c:v>
                </c:pt>
                <c:pt idx="3">
                  <c:v>F</c:v>
                </c:pt>
                <c:pt idx="4">
                  <c:v>C</c:v>
                </c:pt>
                <c:pt idx="5">
                  <c:v>D</c:v>
                </c:pt>
                <c:pt idx="6">
                  <c:v>H</c:v>
                </c:pt>
              </c:strCache>
            </c:strRef>
          </c:cat>
          <c:val>
            <c:numRef>
              <c:f>Sheet1!$AC$18:$AC$24</c:f>
              <c:numCache>
                <c:formatCode>General</c:formatCode>
                <c:ptCount val="7"/>
                <c:pt idx="0">
                  <c:v>25</c:v>
                </c:pt>
                <c:pt idx="1">
                  <c:v>10</c:v>
                </c:pt>
                <c:pt idx="2">
                  <c:v>8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50-C948-BB19-2C7F2FE29AF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291939143200331"/>
          <c:y val="0.41449596869253624"/>
          <c:w val="0.1277585746696917"/>
          <c:h val="0.38650195671648829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</a:t>
            </a:r>
            <a:r>
              <a:rPr lang="en-US" baseline="0"/>
              <a:t>P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>
                  <a:shade val="7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>
                  <a:tint val="77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Sheet1!$Y$24:$Y$25</c:f>
              <c:strCache>
                <c:ptCount val="2"/>
                <c:pt idx="0">
                  <c:v>N</c:v>
                </c:pt>
                <c:pt idx="1">
                  <c:v>Y</c:v>
                </c:pt>
              </c:strCache>
            </c:strRef>
          </c:cat>
          <c:val>
            <c:numRef>
              <c:f>Sheet1!$Z$24:$Z$25</c:f>
              <c:numCache>
                <c:formatCode>General</c:formatCode>
                <c:ptCount val="2"/>
                <c:pt idx="0">
                  <c:v>27</c:v>
                </c:pt>
                <c:pt idx="1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37-C344-92EC-E8491A6C945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4408011948229"/>
          <c:y val="0.45214927252923126"/>
          <c:w val="0.1170868625495327"/>
          <c:h val="0.25115787148085816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Yearly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Sheet1!$AB$28:$AB$47</c:f>
              <c:strCache>
                <c:ptCount val="20"/>
                <c:pt idx="0">
                  <c:v>2019</c:v>
                </c:pt>
                <c:pt idx="1">
                  <c:v>2018</c:v>
                </c:pt>
                <c:pt idx="2">
                  <c:v>2017</c:v>
                </c:pt>
                <c:pt idx="3">
                  <c:v>2016</c:v>
                </c:pt>
                <c:pt idx="4">
                  <c:v>2015</c:v>
                </c:pt>
                <c:pt idx="5">
                  <c:v>2014</c:v>
                </c:pt>
                <c:pt idx="6">
                  <c:v>2013</c:v>
                </c:pt>
                <c:pt idx="7">
                  <c:v>2012</c:v>
                </c:pt>
                <c:pt idx="8">
                  <c:v>2011</c:v>
                </c:pt>
                <c:pt idx="9">
                  <c:v>2010</c:v>
                </c:pt>
                <c:pt idx="10">
                  <c:v>2009</c:v>
                </c:pt>
                <c:pt idx="11">
                  <c:v>2008</c:v>
                </c:pt>
                <c:pt idx="12">
                  <c:v>2006</c:v>
                </c:pt>
                <c:pt idx="13">
                  <c:v>2005</c:v>
                </c:pt>
                <c:pt idx="14">
                  <c:v>2004</c:v>
                </c:pt>
                <c:pt idx="15">
                  <c:v>2003</c:v>
                </c:pt>
                <c:pt idx="16">
                  <c:v>2002</c:v>
                </c:pt>
                <c:pt idx="17">
                  <c:v>2001</c:v>
                </c:pt>
                <c:pt idx="18">
                  <c:v>2000</c:v>
                </c:pt>
                <c:pt idx="19">
                  <c:v>&gt; 1999</c:v>
                </c:pt>
              </c:strCache>
            </c:strRef>
          </c:cat>
          <c:val>
            <c:numRef>
              <c:f>Sheet1!$AC$28:$AC$47</c:f>
              <c:numCache>
                <c:formatCode>General</c:formatCode>
                <c:ptCount val="20"/>
                <c:pt idx="0">
                  <c:v>5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3</c:v>
                </c:pt>
                <c:pt idx="15">
                  <c:v>2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6B-B749-ADAE-D4100E9D9A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7755712"/>
        <c:axId val="1707757344"/>
      </c:lineChart>
      <c:catAx>
        <c:axId val="1707755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757344"/>
        <c:crosses val="autoZero"/>
        <c:auto val="1"/>
        <c:lblAlgn val="ctr"/>
        <c:lblOffset val="100"/>
        <c:noMultiLvlLbl val="0"/>
      </c:catAx>
      <c:valAx>
        <c:axId val="170775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755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 20 Films based on R1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Sheet1!$AG$17</c:f>
              <c:strCache>
                <c:ptCount val="1"/>
                <c:pt idx="0">
                  <c:v>E.T: The Extra-Terrestrial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Sheet1!$AE$18:$AF$36</c:f>
            </c:multiLvlStrRef>
          </c:cat>
          <c:val>
            <c:numRef>
              <c:f>Sheet1!$AG$18:$AG$36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FA-3941-B1E6-84A671DDFB4F}"/>
            </c:ext>
          </c:extLst>
        </c:ser>
        <c:ser>
          <c:idx val="1"/>
          <c:order val="1"/>
          <c:tx>
            <c:strRef>
              <c:f>Sheet1!$AH$17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Sheet1!$AE$18:$AF$36</c:f>
            </c:multiLvlStrRef>
          </c:cat>
          <c:val>
            <c:numRef>
              <c:f>Sheet1!$AH$18:$AH$36</c:f>
              <c:numCache>
                <c:formatCode>General</c:formatCode>
                <c:ptCount val="19"/>
              </c:numCache>
            </c:numRef>
          </c:val>
          <c:extLst>
            <c:ext xmlns:c16="http://schemas.microsoft.com/office/drawing/2014/chart" uri="{C3380CC4-5D6E-409C-BE32-E72D297353CC}">
              <c16:uniqueId val="{00000001-6BFA-3941-B1E6-84A671DDFB4F}"/>
            </c:ext>
          </c:extLst>
        </c:ser>
        <c:ser>
          <c:idx val="2"/>
          <c:order val="2"/>
          <c:tx>
            <c:strRef>
              <c:f>Sheet1!$AI$17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Sheet1!$AE$18:$AF$36</c:f>
            </c:multiLvlStrRef>
          </c:cat>
          <c:val>
            <c:numRef>
              <c:f>Sheet1!$AI$18:$AI$36</c:f>
              <c:numCache>
                <c:formatCode>General</c:formatCode>
                <c:ptCount val="19"/>
              </c:numCache>
            </c:numRef>
          </c:val>
          <c:extLst>
            <c:ext xmlns:c16="http://schemas.microsoft.com/office/drawing/2014/chart" uri="{C3380CC4-5D6E-409C-BE32-E72D297353CC}">
              <c16:uniqueId val="{00000002-6BFA-3941-B1E6-84A671DDFB4F}"/>
            </c:ext>
          </c:extLst>
        </c:ser>
        <c:ser>
          <c:idx val="3"/>
          <c:order val="3"/>
          <c:tx>
            <c:strRef>
              <c:f>Sheet1!$AJ$17</c:f>
              <c:strCache>
                <c:ptCount val="1"/>
                <c:pt idx="0">
                  <c:v>32.64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Sheet1!$AE$18:$AF$36</c:f>
            </c:multiLvlStrRef>
          </c:cat>
          <c:val>
            <c:numRef>
              <c:f>Sheet1!$AJ$18:$AJ$36</c:f>
              <c:numCache>
                <c:formatCode>General</c:formatCode>
                <c:ptCount val="19"/>
                <c:pt idx="0">
                  <c:v>27.91</c:v>
                </c:pt>
                <c:pt idx="1">
                  <c:v>12.33</c:v>
                </c:pt>
                <c:pt idx="2">
                  <c:v>6.96</c:v>
                </c:pt>
                <c:pt idx="3">
                  <c:v>6.26</c:v>
                </c:pt>
                <c:pt idx="4">
                  <c:v>5.67</c:v>
                </c:pt>
                <c:pt idx="5">
                  <c:v>5.23</c:v>
                </c:pt>
                <c:pt idx="6">
                  <c:v>4.91</c:v>
                </c:pt>
                <c:pt idx="7">
                  <c:v>4.84</c:v>
                </c:pt>
                <c:pt idx="8">
                  <c:v>4.5</c:v>
                </c:pt>
                <c:pt idx="9">
                  <c:v>4.3499999999999996</c:v>
                </c:pt>
                <c:pt idx="10">
                  <c:v>4.01</c:v>
                </c:pt>
                <c:pt idx="11">
                  <c:v>3.82</c:v>
                </c:pt>
                <c:pt idx="12">
                  <c:v>3.75</c:v>
                </c:pt>
                <c:pt idx="13">
                  <c:v>3.62</c:v>
                </c:pt>
                <c:pt idx="14">
                  <c:v>3.5</c:v>
                </c:pt>
                <c:pt idx="15">
                  <c:v>3.36</c:v>
                </c:pt>
                <c:pt idx="16">
                  <c:v>3.27</c:v>
                </c:pt>
                <c:pt idx="17">
                  <c:v>3.16</c:v>
                </c:pt>
                <c:pt idx="18">
                  <c:v>3.15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BFA-3941-B1E6-84A671DDFB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525562112"/>
        <c:axId val="1710653232"/>
      </c:barChart>
      <c:catAx>
        <c:axId val="1525562112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653232"/>
        <c:crosses val="autoZero"/>
        <c:auto val="1"/>
        <c:lblAlgn val="ctr"/>
        <c:lblOffset val="100"/>
        <c:noMultiLvlLbl val="0"/>
      </c:catAx>
      <c:valAx>
        <c:axId val="1710653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562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 20 Films</a:t>
            </a:r>
            <a:r>
              <a:rPr lang="en-US" baseline="0"/>
              <a:t> based on R2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Sheet1!$AN$17</c:f>
              <c:strCache>
                <c:ptCount val="1"/>
                <c:pt idx="0">
                  <c:v>E.T: The Extra-Terrestrial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Sheet1!$AL$18:$AM$36</c:f>
            </c:multiLvlStrRef>
          </c:cat>
          <c:val>
            <c:numRef>
              <c:f>Sheet1!$AN$18:$AN$36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6F-1741-A5E0-C5F053C579EA}"/>
            </c:ext>
          </c:extLst>
        </c:ser>
        <c:ser>
          <c:idx val="1"/>
          <c:order val="1"/>
          <c:tx>
            <c:strRef>
              <c:f>Sheet1!$AO$17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Sheet1!$AL$18:$AM$36</c:f>
            </c:multiLvlStrRef>
          </c:cat>
          <c:val>
            <c:numRef>
              <c:f>Sheet1!$AO$18:$AO$36</c:f>
              <c:numCache>
                <c:formatCode>General</c:formatCode>
                <c:ptCount val="19"/>
              </c:numCache>
            </c:numRef>
          </c:val>
          <c:extLst>
            <c:ext xmlns:c16="http://schemas.microsoft.com/office/drawing/2014/chart" uri="{C3380CC4-5D6E-409C-BE32-E72D297353CC}">
              <c16:uniqueId val="{00000001-456F-1741-A5E0-C5F053C579EA}"/>
            </c:ext>
          </c:extLst>
        </c:ser>
        <c:ser>
          <c:idx val="2"/>
          <c:order val="2"/>
          <c:tx>
            <c:strRef>
              <c:f>Sheet1!$AP$17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Sheet1!$AL$18:$AM$36</c:f>
            </c:multiLvlStrRef>
          </c:cat>
          <c:val>
            <c:numRef>
              <c:f>Sheet1!$AP$18:$AP$36</c:f>
              <c:numCache>
                <c:formatCode>General</c:formatCode>
                <c:ptCount val="19"/>
              </c:numCache>
            </c:numRef>
          </c:val>
          <c:extLst>
            <c:ext xmlns:c16="http://schemas.microsoft.com/office/drawing/2014/chart" uri="{C3380CC4-5D6E-409C-BE32-E72D297353CC}">
              <c16:uniqueId val="{00000002-456F-1741-A5E0-C5F053C579EA}"/>
            </c:ext>
          </c:extLst>
        </c:ser>
        <c:ser>
          <c:idx val="3"/>
          <c:order val="3"/>
          <c:tx>
            <c:strRef>
              <c:f>Sheet1!$AQ$17</c:f>
              <c:strCache>
                <c:ptCount val="1"/>
                <c:pt idx="0">
                  <c:v>31.64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Sheet1!$AL$18:$AM$36</c:f>
            </c:multiLvlStrRef>
          </c:cat>
          <c:val>
            <c:numRef>
              <c:f>Sheet1!$AQ$18:$AQ$36</c:f>
              <c:numCache>
                <c:formatCode>General</c:formatCode>
                <c:ptCount val="19"/>
                <c:pt idx="0">
                  <c:v>26.91</c:v>
                </c:pt>
                <c:pt idx="1">
                  <c:v>11.33</c:v>
                </c:pt>
                <c:pt idx="2">
                  <c:v>5.96</c:v>
                </c:pt>
                <c:pt idx="3">
                  <c:v>5.26</c:v>
                </c:pt>
                <c:pt idx="4">
                  <c:v>4.67</c:v>
                </c:pt>
                <c:pt idx="5">
                  <c:v>4.2300000000000004</c:v>
                </c:pt>
                <c:pt idx="6">
                  <c:v>3.91</c:v>
                </c:pt>
                <c:pt idx="7">
                  <c:v>3.84</c:v>
                </c:pt>
                <c:pt idx="8">
                  <c:v>3.5</c:v>
                </c:pt>
                <c:pt idx="9">
                  <c:v>3.35</c:v>
                </c:pt>
                <c:pt idx="10">
                  <c:v>3.01</c:v>
                </c:pt>
                <c:pt idx="11">
                  <c:v>2.82</c:v>
                </c:pt>
                <c:pt idx="12">
                  <c:v>2.75</c:v>
                </c:pt>
                <c:pt idx="13">
                  <c:v>2.62</c:v>
                </c:pt>
                <c:pt idx="14">
                  <c:v>2.5</c:v>
                </c:pt>
                <c:pt idx="15">
                  <c:v>2.36</c:v>
                </c:pt>
                <c:pt idx="16">
                  <c:v>2.27</c:v>
                </c:pt>
                <c:pt idx="17">
                  <c:v>2.16</c:v>
                </c:pt>
                <c:pt idx="18">
                  <c:v>2.15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56F-1741-A5E0-C5F053C57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709947040"/>
        <c:axId val="1686564912"/>
      </c:barChart>
      <c:catAx>
        <c:axId val="1709947040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564912"/>
        <c:crosses val="autoZero"/>
        <c:auto val="1"/>
        <c:lblAlgn val="ctr"/>
        <c:lblOffset val="100"/>
        <c:noMultiLvlLbl val="0"/>
      </c:catAx>
      <c:valAx>
        <c:axId val="1686564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947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_xlchart.v1.15</cx:f>
      </cx:strDim>
      <cx:numDim type="val">
        <cx:f>_xlchart.v1.16</cx:f>
      </cx:numDim>
    </cx:data>
  </cx:chartData>
  <cx:chart>
    <cx:title pos="t" align="ctr" overlay="0">
      <cx:tx>
        <cx:txData>
          <cx:v>Box Office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Box Office Distribution</a:t>
          </a:r>
        </a:p>
      </cx:txPr>
    </cx:title>
    <cx:plotArea>
      <cx:plotAreaRegion>
        <cx:series layoutId="clusteredColumn" uniqueId="{04299D7C-F611-D442-A133-297E5427FD37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14/relationships/chartEx" Target="../charts/chartEx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802724</xdr:colOff>
      <xdr:row>53</xdr:row>
      <xdr:rowOff>181429</xdr:rowOff>
    </xdr:from>
    <xdr:to>
      <xdr:col>7</xdr:col>
      <xdr:colOff>592667</xdr:colOff>
      <xdr:row>74</xdr:row>
      <xdr:rowOff>181429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1F5535-3BC4-4149-8868-1957DE593B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452120</xdr:colOff>
      <xdr:row>54</xdr:row>
      <xdr:rowOff>5080</xdr:rowOff>
    </xdr:from>
    <xdr:to>
      <xdr:col>27</xdr:col>
      <xdr:colOff>685800</xdr:colOff>
      <xdr:row>75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BDEB6A6-685F-C54D-9F85-7C73771DA4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203200</xdr:colOff>
      <xdr:row>53</xdr:row>
      <xdr:rowOff>160867</xdr:rowOff>
    </xdr:from>
    <xdr:to>
      <xdr:col>15</xdr:col>
      <xdr:colOff>762000</xdr:colOff>
      <xdr:row>74</xdr:row>
      <xdr:rowOff>135467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3536562-9C0C-AE46-B461-46D92ED947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29286</xdr:colOff>
      <xdr:row>78</xdr:row>
      <xdr:rowOff>97389</xdr:rowOff>
    </xdr:from>
    <xdr:to>
      <xdr:col>7</xdr:col>
      <xdr:colOff>605019</xdr:colOff>
      <xdr:row>98</xdr:row>
      <xdr:rowOff>134077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DC52A3C-61D0-C64F-ADDC-F71CB8420B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457200</xdr:colOff>
      <xdr:row>76</xdr:row>
      <xdr:rowOff>186266</xdr:rowOff>
    </xdr:from>
    <xdr:to>
      <xdr:col>28</xdr:col>
      <xdr:colOff>635000</xdr:colOff>
      <xdr:row>98</xdr:row>
      <xdr:rowOff>114299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C8B0FC6-2705-534F-8607-38E46BF41C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45803</xdr:colOff>
      <xdr:row>78</xdr:row>
      <xdr:rowOff>20820</xdr:rowOff>
    </xdr:from>
    <xdr:to>
      <xdr:col>16</xdr:col>
      <xdr:colOff>104098</xdr:colOff>
      <xdr:row>98</xdr:row>
      <xdr:rowOff>145736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ACC15FF8-655A-7B4D-A628-591899D8025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08098" y="16260164"/>
              <a:ext cx="6345836" cy="42888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29</xdr:col>
      <xdr:colOff>29307</xdr:colOff>
      <xdr:row>53</xdr:row>
      <xdr:rowOff>13677</xdr:rowOff>
    </xdr:from>
    <xdr:to>
      <xdr:col>38</xdr:col>
      <xdr:colOff>457200</xdr:colOff>
      <xdr:row>77</xdr:row>
      <xdr:rowOff>127000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741DC0C-174C-5F45-9BD4-63FC6066DA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39</xdr:col>
      <xdr:colOff>84666</xdr:colOff>
      <xdr:row>52</xdr:row>
      <xdr:rowOff>177800</xdr:rowOff>
    </xdr:from>
    <xdr:to>
      <xdr:col>48</xdr:col>
      <xdr:colOff>355600</xdr:colOff>
      <xdr:row>77</xdr:row>
      <xdr:rowOff>84667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F664B81-322B-494E-AEC4-CF2E93BAC1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49F31-E6F4-B941-ACD3-3976D03756DC}">
  <dimension ref="B1:BF1048576"/>
  <sheetViews>
    <sheetView tabSelected="1" topLeftCell="B4" zoomScale="66" zoomScaleNormal="60" workbookViewId="0">
      <selection activeCell="AY55" sqref="AY55"/>
    </sheetView>
  </sheetViews>
  <sheetFormatPr baseColWidth="10" defaultRowHeight="16"/>
  <cols>
    <col min="15" max="15" width="6" customWidth="1"/>
    <col min="17" max="17" width="7.33203125" customWidth="1"/>
    <col min="19" max="19" width="1.83203125" hidden="1" customWidth="1"/>
    <col min="21" max="21" width="1.33203125" hidden="1" customWidth="1"/>
  </cols>
  <sheetData>
    <row r="1" spans="2:58" ht="16" customHeight="1">
      <c r="B1" s="59" t="s">
        <v>0</v>
      </c>
      <c r="C1" s="60"/>
      <c r="D1" s="60"/>
      <c r="E1" s="61"/>
      <c r="F1" s="57" t="s">
        <v>1</v>
      </c>
      <c r="G1" s="58"/>
      <c r="H1" s="34" t="s">
        <v>2</v>
      </c>
      <c r="I1" s="56"/>
      <c r="J1" s="34" t="s">
        <v>3</v>
      </c>
      <c r="K1" s="35"/>
      <c r="L1" s="14" t="s">
        <v>4</v>
      </c>
      <c r="M1" s="20" t="s">
        <v>5</v>
      </c>
      <c r="N1" s="34" t="s">
        <v>89</v>
      </c>
      <c r="O1" s="56"/>
      <c r="P1" s="34" t="s">
        <v>90</v>
      </c>
      <c r="Q1" s="56"/>
      <c r="R1" s="32" t="s">
        <v>91</v>
      </c>
      <c r="S1" s="33"/>
      <c r="T1" s="34" t="s">
        <v>91</v>
      </c>
      <c r="U1" s="35"/>
      <c r="V1" s="9"/>
      <c r="AE1" s="2"/>
      <c r="AF1" s="2"/>
      <c r="AG1" s="2"/>
      <c r="AH1" s="2"/>
    </row>
    <row r="2" spans="2:58">
      <c r="B2" s="41" t="s">
        <v>6</v>
      </c>
      <c r="C2" s="42"/>
      <c r="D2" s="42"/>
      <c r="E2" s="43"/>
      <c r="F2" s="41">
        <v>2015</v>
      </c>
      <c r="G2" s="43"/>
      <c r="H2" s="52" t="s">
        <v>55</v>
      </c>
      <c r="I2" s="53"/>
      <c r="J2" s="52" t="s">
        <v>72</v>
      </c>
      <c r="K2" s="53"/>
      <c r="L2" s="13" t="s">
        <v>79</v>
      </c>
      <c r="M2" s="11" t="s">
        <v>66</v>
      </c>
      <c r="N2" s="52">
        <v>245</v>
      </c>
      <c r="O2" s="53"/>
      <c r="P2" s="52">
        <v>937</v>
      </c>
      <c r="Q2" s="53"/>
      <c r="R2" s="36">
        <f>P2/N2</f>
        <v>3.8244897959183675</v>
      </c>
      <c r="S2" s="37"/>
      <c r="T2" s="23">
        <f>(P2-N2)/N2</f>
        <v>2.8244897959183675</v>
      </c>
      <c r="U2" s="24" t="e">
        <f>(Q2-O2)/O2</f>
        <v>#DIV/0!</v>
      </c>
      <c r="V2" s="9"/>
      <c r="AE2" s="2"/>
      <c r="AF2" s="7"/>
      <c r="AG2" s="45"/>
      <c r="AH2" s="45"/>
    </row>
    <row r="3" spans="2:58">
      <c r="B3" s="38" t="s">
        <v>7</v>
      </c>
      <c r="C3" s="39"/>
      <c r="D3" s="39"/>
      <c r="E3" s="40"/>
      <c r="F3" s="38">
        <v>2019</v>
      </c>
      <c r="G3" s="40"/>
      <c r="H3" s="44" t="s">
        <v>55</v>
      </c>
      <c r="I3" s="46"/>
      <c r="J3" s="44" t="s">
        <v>67</v>
      </c>
      <c r="K3" s="46"/>
      <c r="L3" s="13" t="s">
        <v>88</v>
      </c>
      <c r="M3" s="11" t="s">
        <v>66</v>
      </c>
      <c r="N3" s="44">
        <v>356</v>
      </c>
      <c r="O3" s="46"/>
      <c r="P3" s="44">
        <v>858</v>
      </c>
      <c r="Q3" s="46"/>
      <c r="R3" s="28">
        <f t="shared" ref="R3:R51" si="0">P3/N3</f>
        <v>2.4101123595505616</v>
      </c>
      <c r="S3" s="29"/>
      <c r="T3" s="23">
        <f t="shared" ref="T3:T51" si="1">(P3-N3)/N3</f>
        <v>1.4101123595505618</v>
      </c>
      <c r="U3" s="4"/>
      <c r="V3" s="9"/>
      <c r="AE3" s="2"/>
      <c r="AF3" s="7"/>
      <c r="AG3" s="45"/>
      <c r="AH3" s="45"/>
      <c r="AS3" s="2"/>
      <c r="AT3" s="7"/>
      <c r="AU3" s="11"/>
      <c r="AV3" s="11"/>
      <c r="AW3" s="11"/>
      <c r="AX3" s="11"/>
      <c r="AY3" s="7"/>
      <c r="AZ3" s="7"/>
      <c r="BA3" s="11"/>
      <c r="BB3" s="12"/>
      <c r="BC3" s="7"/>
      <c r="BD3" s="7"/>
      <c r="BE3" s="69"/>
      <c r="BF3" s="69"/>
    </row>
    <row r="4" spans="2:58">
      <c r="B4" s="38" t="s">
        <v>8</v>
      </c>
      <c r="C4" s="39"/>
      <c r="D4" s="39"/>
      <c r="E4" s="40"/>
      <c r="F4" s="38">
        <v>2009</v>
      </c>
      <c r="G4" s="40"/>
      <c r="H4" s="44" t="s">
        <v>56</v>
      </c>
      <c r="I4" s="46"/>
      <c r="J4" s="44" t="s">
        <v>67</v>
      </c>
      <c r="K4" s="46"/>
      <c r="L4" s="13" t="s">
        <v>79</v>
      </c>
      <c r="M4" s="1" t="s">
        <v>66</v>
      </c>
      <c r="N4" s="44">
        <v>237</v>
      </c>
      <c r="O4" s="46"/>
      <c r="P4" s="44">
        <v>750</v>
      </c>
      <c r="Q4" s="46"/>
      <c r="R4" s="28">
        <f t="shared" si="0"/>
        <v>3.1645569620253164</v>
      </c>
      <c r="S4" s="29"/>
      <c r="T4" s="23">
        <f t="shared" si="1"/>
        <v>2.1645569620253164</v>
      </c>
      <c r="U4" s="8"/>
      <c r="V4" s="6"/>
      <c r="X4" s="34" t="s">
        <v>80</v>
      </c>
      <c r="Y4" s="49"/>
      <c r="Z4" s="35"/>
      <c r="AE4" s="7"/>
      <c r="AF4" s="7"/>
      <c r="AG4" s="45"/>
      <c r="AH4" s="45"/>
      <c r="AS4" s="7"/>
      <c r="AT4" s="7"/>
      <c r="AU4" s="11"/>
      <c r="AV4" s="11"/>
      <c r="AW4" s="11"/>
      <c r="AX4" s="11"/>
      <c r="AY4" s="7"/>
      <c r="AZ4" s="7"/>
      <c r="BA4" s="11"/>
      <c r="BB4" s="12"/>
      <c r="BC4" s="7"/>
      <c r="BD4" s="7"/>
      <c r="BE4" s="69"/>
      <c r="BF4" s="69"/>
    </row>
    <row r="5" spans="2:58">
      <c r="B5" s="38" t="s">
        <v>9</v>
      </c>
      <c r="C5" s="39"/>
      <c r="D5" s="39"/>
      <c r="E5" s="40"/>
      <c r="F5" s="38">
        <v>2018</v>
      </c>
      <c r="G5" s="40"/>
      <c r="H5" s="44" t="s">
        <v>55</v>
      </c>
      <c r="I5" s="46"/>
      <c r="J5" s="44" t="s">
        <v>67</v>
      </c>
      <c r="K5" s="46"/>
      <c r="L5" s="13" t="s">
        <v>88</v>
      </c>
      <c r="M5" s="1" t="s">
        <v>66</v>
      </c>
      <c r="N5" s="44">
        <v>200</v>
      </c>
      <c r="O5" s="46"/>
      <c r="P5" s="44">
        <v>700</v>
      </c>
      <c r="Q5" s="46"/>
      <c r="R5" s="28">
        <f t="shared" si="0"/>
        <v>3.5</v>
      </c>
      <c r="S5" s="29"/>
      <c r="T5" s="23">
        <f t="shared" si="1"/>
        <v>2.5</v>
      </c>
      <c r="U5" s="8"/>
      <c r="V5" s="6"/>
      <c r="X5" s="21" t="s">
        <v>72</v>
      </c>
      <c r="Y5" s="41" t="s">
        <v>73</v>
      </c>
      <c r="Z5" s="43"/>
      <c r="AS5" s="7"/>
      <c r="AT5" s="7"/>
      <c r="AU5" s="7"/>
      <c r="AV5" s="7"/>
      <c r="AW5" s="7"/>
      <c r="AX5" s="7"/>
      <c r="AY5" s="7"/>
      <c r="AZ5" s="7"/>
      <c r="BA5" s="11"/>
      <c r="BB5" s="7"/>
      <c r="BC5" s="7"/>
      <c r="BD5" s="7"/>
      <c r="BE5" s="69"/>
      <c r="BF5" s="69"/>
    </row>
    <row r="6" spans="2:58">
      <c r="B6" s="38" t="s">
        <v>10</v>
      </c>
      <c r="C6" s="39"/>
      <c r="D6" s="39"/>
      <c r="E6" s="40"/>
      <c r="F6" s="38">
        <v>2018</v>
      </c>
      <c r="G6" s="40"/>
      <c r="H6" s="44" t="s">
        <v>55</v>
      </c>
      <c r="I6" s="46"/>
      <c r="J6" s="44" t="s">
        <v>67</v>
      </c>
      <c r="K6" s="46"/>
      <c r="L6" s="13" t="s">
        <v>88</v>
      </c>
      <c r="M6" s="1" t="s">
        <v>66</v>
      </c>
      <c r="N6" s="44">
        <v>316</v>
      </c>
      <c r="O6" s="46"/>
      <c r="P6" s="44">
        <v>679</v>
      </c>
      <c r="Q6" s="46"/>
      <c r="R6" s="28">
        <f t="shared" si="0"/>
        <v>2.1487341772151898</v>
      </c>
      <c r="S6" s="29"/>
      <c r="T6" s="23">
        <f t="shared" si="1"/>
        <v>1.1487341772151898</v>
      </c>
      <c r="U6" s="8"/>
      <c r="V6" s="6"/>
      <c r="X6" s="13" t="s">
        <v>83</v>
      </c>
      <c r="Y6" s="38" t="s">
        <v>84</v>
      </c>
      <c r="Z6" s="40"/>
      <c r="AS6" s="7"/>
      <c r="AT6" s="7"/>
      <c r="AU6" s="7"/>
      <c r="AV6" s="7"/>
      <c r="AW6" s="7"/>
      <c r="AX6" s="7"/>
      <c r="AY6" s="7"/>
      <c r="AZ6" s="7"/>
      <c r="BA6" s="11"/>
      <c r="BB6" s="7"/>
      <c r="BC6" s="7"/>
      <c r="BD6" s="7"/>
      <c r="BE6" s="69"/>
      <c r="BF6" s="69"/>
    </row>
    <row r="7" spans="2:58">
      <c r="B7" s="38" t="s">
        <v>11</v>
      </c>
      <c r="C7" s="39"/>
      <c r="D7" s="39"/>
      <c r="E7" s="40"/>
      <c r="F7" s="38">
        <v>1997</v>
      </c>
      <c r="G7" s="40"/>
      <c r="H7" s="44" t="s">
        <v>57</v>
      </c>
      <c r="I7" s="46"/>
      <c r="J7" s="44" t="s">
        <v>68</v>
      </c>
      <c r="K7" s="46"/>
      <c r="L7" s="13" t="s">
        <v>79</v>
      </c>
      <c r="M7" s="1" t="s">
        <v>66</v>
      </c>
      <c r="N7" s="44">
        <v>200</v>
      </c>
      <c r="O7" s="46"/>
      <c r="P7" s="44">
        <v>601</v>
      </c>
      <c r="Q7" s="46"/>
      <c r="R7" s="28">
        <f t="shared" si="0"/>
        <v>3.0049999999999999</v>
      </c>
      <c r="S7" s="29"/>
      <c r="T7" s="23">
        <f t="shared" si="1"/>
        <v>2.0049999999999999</v>
      </c>
      <c r="U7" s="8"/>
      <c r="V7" s="6"/>
      <c r="X7" s="13" t="s">
        <v>71</v>
      </c>
      <c r="Y7" s="38" t="s">
        <v>75</v>
      </c>
      <c r="Z7" s="40"/>
      <c r="AS7" s="7"/>
      <c r="AT7" s="7"/>
      <c r="AU7" s="11"/>
      <c r="AV7" s="11"/>
      <c r="AW7" s="11"/>
      <c r="AX7" s="7"/>
      <c r="AY7" s="7"/>
      <c r="AZ7" s="7"/>
      <c r="BA7" s="11"/>
      <c r="BB7" s="12"/>
      <c r="BC7" s="7"/>
      <c r="BD7" s="7"/>
      <c r="BE7" s="69"/>
      <c r="BF7" s="69"/>
    </row>
    <row r="8" spans="2:58">
      <c r="B8" s="38" t="s">
        <v>12</v>
      </c>
      <c r="C8" s="39"/>
      <c r="D8" s="39"/>
      <c r="E8" s="40"/>
      <c r="F8" s="38">
        <v>2015</v>
      </c>
      <c r="G8" s="40"/>
      <c r="H8" s="44" t="s">
        <v>58</v>
      </c>
      <c r="I8" s="46"/>
      <c r="J8" s="44" t="s">
        <v>67</v>
      </c>
      <c r="K8" s="46"/>
      <c r="L8" s="13" t="s">
        <v>79</v>
      </c>
      <c r="M8" s="1" t="s">
        <v>66</v>
      </c>
      <c r="N8" s="44">
        <v>150</v>
      </c>
      <c r="O8" s="46"/>
      <c r="P8" s="44">
        <v>652</v>
      </c>
      <c r="Q8" s="46"/>
      <c r="R8" s="28">
        <f t="shared" si="0"/>
        <v>4.3466666666666667</v>
      </c>
      <c r="S8" s="29"/>
      <c r="T8" s="23">
        <f t="shared" si="1"/>
        <v>3.3466666666666667</v>
      </c>
      <c r="U8" s="8"/>
      <c r="V8" s="6"/>
      <c r="X8" s="13" t="s">
        <v>67</v>
      </c>
      <c r="Y8" s="38" t="s">
        <v>74</v>
      </c>
      <c r="Z8" s="40"/>
      <c r="AS8" s="7"/>
      <c r="AT8" s="7"/>
      <c r="AU8" s="7"/>
      <c r="AV8" s="7"/>
      <c r="AW8" s="7"/>
      <c r="AX8" s="7"/>
      <c r="AY8" s="7"/>
      <c r="AZ8" s="7"/>
      <c r="BA8" s="11"/>
      <c r="BB8" s="7"/>
      <c r="BC8" s="7"/>
      <c r="BD8" s="7"/>
      <c r="BE8" s="69"/>
      <c r="BF8" s="69"/>
    </row>
    <row r="9" spans="2:58">
      <c r="B9" s="38" t="s">
        <v>13</v>
      </c>
      <c r="C9" s="39"/>
      <c r="D9" s="39"/>
      <c r="E9" s="40"/>
      <c r="F9" s="38">
        <v>2012</v>
      </c>
      <c r="G9" s="40"/>
      <c r="H9" s="44" t="s">
        <v>55</v>
      </c>
      <c r="I9" s="46"/>
      <c r="J9" s="44" t="s">
        <v>67</v>
      </c>
      <c r="K9" s="46"/>
      <c r="L9" s="13" t="s">
        <v>88</v>
      </c>
      <c r="M9" s="1" t="s">
        <v>66</v>
      </c>
      <c r="N9" s="44">
        <v>220</v>
      </c>
      <c r="O9" s="46"/>
      <c r="P9" s="44">
        <v>623</v>
      </c>
      <c r="Q9" s="46"/>
      <c r="R9" s="28">
        <f t="shared" si="0"/>
        <v>2.831818181818182</v>
      </c>
      <c r="S9" s="29"/>
      <c r="T9" s="23">
        <f t="shared" si="1"/>
        <v>1.8318181818181818</v>
      </c>
      <c r="U9" s="8"/>
      <c r="V9" s="6"/>
      <c r="X9" s="13" t="s">
        <v>86</v>
      </c>
      <c r="Y9" s="38" t="s">
        <v>87</v>
      </c>
      <c r="Z9" s="40"/>
      <c r="AS9" s="7"/>
      <c r="AT9" s="7"/>
      <c r="AU9" s="7"/>
      <c r="AV9" s="7"/>
      <c r="AW9" s="7"/>
      <c r="AX9" s="7"/>
      <c r="AY9" s="7"/>
      <c r="AZ9" s="7"/>
      <c r="BA9" s="11"/>
      <c r="BB9" s="7"/>
      <c r="BC9" s="7"/>
      <c r="BD9" s="7"/>
      <c r="BE9" s="69"/>
      <c r="BF9" s="69"/>
    </row>
    <row r="10" spans="2:58">
      <c r="B10" s="38" t="s">
        <v>14</v>
      </c>
      <c r="C10" s="39"/>
      <c r="D10" s="39"/>
      <c r="E10" s="40"/>
      <c r="F10" s="38">
        <v>2017</v>
      </c>
      <c r="G10" s="40"/>
      <c r="H10" s="44" t="s">
        <v>55</v>
      </c>
      <c r="I10" s="46"/>
      <c r="J10" s="44" t="s">
        <v>72</v>
      </c>
      <c r="K10" s="46"/>
      <c r="L10" s="13" t="s">
        <v>88</v>
      </c>
      <c r="M10" s="1" t="s">
        <v>66</v>
      </c>
      <c r="N10" s="44">
        <v>317</v>
      </c>
      <c r="O10" s="46"/>
      <c r="P10" s="44">
        <v>620</v>
      </c>
      <c r="Q10" s="46"/>
      <c r="R10" s="28">
        <f t="shared" si="0"/>
        <v>1.9558359621451105</v>
      </c>
      <c r="S10" s="29"/>
      <c r="T10" s="23">
        <f t="shared" si="1"/>
        <v>0.95583596214511046</v>
      </c>
      <c r="U10" s="8"/>
      <c r="V10" s="6"/>
      <c r="X10" s="13" t="s">
        <v>81</v>
      </c>
      <c r="Y10" s="38" t="s">
        <v>82</v>
      </c>
      <c r="Z10" s="40"/>
      <c r="AS10" s="7"/>
      <c r="AT10" s="7"/>
      <c r="AU10" s="7"/>
      <c r="AV10" s="7"/>
      <c r="AW10" s="7"/>
      <c r="AX10" s="7"/>
      <c r="AY10" s="7"/>
      <c r="AZ10" s="7"/>
      <c r="BA10" s="11"/>
      <c r="BB10" s="12"/>
      <c r="BC10" s="7"/>
      <c r="BD10" s="7"/>
      <c r="BE10" s="69"/>
      <c r="BF10" s="69"/>
    </row>
    <row r="11" spans="2:58">
      <c r="B11" s="38" t="s">
        <v>15</v>
      </c>
      <c r="C11" s="39"/>
      <c r="D11" s="39"/>
      <c r="E11" s="40"/>
      <c r="F11" s="38">
        <v>2018</v>
      </c>
      <c r="G11" s="40"/>
      <c r="H11" s="44" t="s">
        <v>55</v>
      </c>
      <c r="I11" s="46"/>
      <c r="J11" s="44" t="s">
        <v>69</v>
      </c>
      <c r="K11" s="46"/>
      <c r="L11" s="13" t="s">
        <v>79</v>
      </c>
      <c r="M11" s="7" t="s">
        <v>70</v>
      </c>
      <c r="N11" s="44">
        <v>200</v>
      </c>
      <c r="O11" s="46"/>
      <c r="P11" s="44">
        <v>609</v>
      </c>
      <c r="Q11" s="46"/>
      <c r="R11" s="28">
        <f t="shared" si="0"/>
        <v>3.0449999999999999</v>
      </c>
      <c r="S11" s="29"/>
      <c r="T11" s="23">
        <f t="shared" si="1"/>
        <v>2.0449999999999999</v>
      </c>
      <c r="U11" s="8"/>
      <c r="V11" s="6"/>
      <c r="X11" s="22" t="s">
        <v>69</v>
      </c>
      <c r="Y11" s="47" t="s">
        <v>77</v>
      </c>
      <c r="Z11" s="48"/>
      <c r="AS11" s="7"/>
      <c r="AT11" s="7"/>
      <c r="AU11" s="7"/>
      <c r="AV11" s="7"/>
      <c r="AW11" s="7"/>
      <c r="AX11" s="7"/>
      <c r="AY11" s="7"/>
      <c r="AZ11" s="7"/>
      <c r="BA11" s="11"/>
      <c r="BB11" s="12"/>
      <c r="BC11" s="7"/>
      <c r="BD11" s="7"/>
      <c r="BE11" s="69"/>
      <c r="BF11" s="69"/>
    </row>
    <row r="12" spans="2:58">
      <c r="B12" s="38" t="s">
        <v>16</v>
      </c>
      <c r="C12" s="39"/>
      <c r="D12" s="39"/>
      <c r="E12" s="40"/>
      <c r="F12" s="38">
        <v>2008</v>
      </c>
      <c r="G12" s="40"/>
      <c r="H12" s="44" t="s">
        <v>59</v>
      </c>
      <c r="I12" s="46"/>
      <c r="J12" s="44" t="s">
        <v>67</v>
      </c>
      <c r="K12" s="46"/>
      <c r="L12" s="13" t="s">
        <v>88</v>
      </c>
      <c r="M12" s="1" t="s">
        <v>66</v>
      </c>
      <c r="N12" s="44">
        <v>186</v>
      </c>
      <c r="O12" s="46"/>
      <c r="P12" s="44">
        <v>533</v>
      </c>
      <c r="Q12" s="46"/>
      <c r="R12" s="28">
        <f t="shared" si="0"/>
        <v>2.8655913978494625</v>
      </c>
      <c r="S12" s="29"/>
      <c r="T12" s="23">
        <f t="shared" si="1"/>
        <v>1.8655913978494623</v>
      </c>
      <c r="U12" s="8"/>
      <c r="V12" s="6"/>
      <c r="X12" s="2"/>
      <c r="Y12" s="2"/>
      <c r="Z12" s="2"/>
      <c r="AS12" s="7"/>
      <c r="AT12" s="7"/>
      <c r="AU12" s="7"/>
      <c r="AV12" s="7"/>
      <c r="AW12" s="7"/>
      <c r="AX12" s="7"/>
      <c r="AY12" s="7"/>
      <c r="AZ12" s="7"/>
      <c r="BA12" s="11"/>
      <c r="BB12" s="7"/>
      <c r="BC12" s="7"/>
      <c r="BD12" s="7"/>
      <c r="BE12" s="69"/>
      <c r="BF12" s="69"/>
    </row>
    <row r="13" spans="2:58">
      <c r="B13" s="38" t="s">
        <v>17</v>
      </c>
      <c r="C13" s="39"/>
      <c r="D13" s="39"/>
      <c r="E13" s="40"/>
      <c r="F13" s="38">
        <v>2016</v>
      </c>
      <c r="G13" s="40"/>
      <c r="H13" s="44" t="s">
        <v>55</v>
      </c>
      <c r="I13" s="46"/>
      <c r="J13" s="44" t="s">
        <v>72</v>
      </c>
      <c r="K13" s="46"/>
      <c r="L13" s="13" t="s">
        <v>88</v>
      </c>
      <c r="M13" s="1" t="s">
        <v>66</v>
      </c>
      <c r="N13" s="44">
        <v>200</v>
      </c>
      <c r="O13" s="46"/>
      <c r="P13" s="44">
        <v>532</v>
      </c>
      <c r="Q13" s="46"/>
      <c r="R13" s="28">
        <f t="shared" si="0"/>
        <v>2.66</v>
      </c>
      <c r="S13" s="29"/>
      <c r="T13" s="23">
        <f t="shared" si="1"/>
        <v>1.66</v>
      </c>
      <c r="U13" s="8"/>
      <c r="V13" s="6"/>
      <c r="X13" s="2"/>
      <c r="Y13" s="2"/>
      <c r="Z13" s="2"/>
      <c r="AS13" s="7"/>
      <c r="AT13" s="7"/>
      <c r="AU13" s="11"/>
      <c r="AV13" s="11"/>
      <c r="AW13" s="11"/>
      <c r="AX13" s="11"/>
      <c r="AY13" s="7"/>
      <c r="AZ13" s="7"/>
      <c r="BA13" s="11"/>
      <c r="BB13" s="7"/>
      <c r="BC13" s="7"/>
      <c r="BD13" s="7"/>
      <c r="BE13" s="69"/>
      <c r="BF13" s="69"/>
    </row>
    <row r="14" spans="2:58">
      <c r="B14" s="38" t="s">
        <v>18</v>
      </c>
      <c r="C14" s="39"/>
      <c r="D14" s="39"/>
      <c r="E14" s="40"/>
      <c r="F14" s="38">
        <v>2019</v>
      </c>
      <c r="G14" s="40"/>
      <c r="H14" s="44" t="s">
        <v>55</v>
      </c>
      <c r="I14" s="46"/>
      <c r="J14" s="44" t="s">
        <v>67</v>
      </c>
      <c r="K14" s="46"/>
      <c r="L14" s="13" t="s">
        <v>79</v>
      </c>
      <c r="M14" s="7" t="s">
        <v>70</v>
      </c>
      <c r="N14" s="44">
        <v>260</v>
      </c>
      <c r="O14" s="46"/>
      <c r="P14" s="44">
        <v>525</v>
      </c>
      <c r="Q14" s="46"/>
      <c r="R14" s="28">
        <f t="shared" si="0"/>
        <v>2.0192307692307692</v>
      </c>
      <c r="S14" s="29"/>
      <c r="T14" s="23">
        <f t="shared" si="1"/>
        <v>1.0192307692307692</v>
      </c>
      <c r="U14" s="8"/>
      <c r="V14" s="6"/>
      <c r="X14" s="71" t="s">
        <v>93</v>
      </c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3"/>
      <c r="AS14" s="7"/>
      <c r="AT14" s="7"/>
      <c r="AU14" s="7"/>
      <c r="AV14" s="7"/>
      <c r="AW14" s="7"/>
      <c r="AX14" s="7"/>
      <c r="AY14" s="7"/>
      <c r="AZ14" s="7"/>
      <c r="BA14" s="11"/>
      <c r="BB14" s="7"/>
      <c r="BC14" s="7"/>
      <c r="BD14" s="7"/>
      <c r="BE14" s="69"/>
      <c r="BF14" s="69"/>
    </row>
    <row r="15" spans="2:58">
      <c r="B15" s="38" t="s">
        <v>19</v>
      </c>
      <c r="C15" s="39"/>
      <c r="D15" s="39"/>
      <c r="E15" s="40"/>
      <c r="F15" s="38">
        <v>2017</v>
      </c>
      <c r="G15" s="40"/>
      <c r="H15" s="44" t="s">
        <v>55</v>
      </c>
      <c r="I15" s="46"/>
      <c r="J15" s="44" t="s">
        <v>71</v>
      </c>
      <c r="K15" s="46"/>
      <c r="L15" s="13" t="s">
        <v>79</v>
      </c>
      <c r="M15" s="12" t="s">
        <v>70</v>
      </c>
      <c r="N15" s="44">
        <v>160</v>
      </c>
      <c r="O15" s="46"/>
      <c r="P15" s="44">
        <v>504</v>
      </c>
      <c r="Q15" s="46"/>
      <c r="R15" s="28">
        <f t="shared" si="0"/>
        <v>3.15</v>
      </c>
      <c r="S15" s="29"/>
      <c r="T15" s="23">
        <f t="shared" si="1"/>
        <v>2.15</v>
      </c>
      <c r="U15" s="8"/>
      <c r="V15" s="6"/>
      <c r="X15" s="9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4"/>
      <c r="AS15" s="7"/>
      <c r="AT15" s="7"/>
      <c r="AU15" s="11"/>
      <c r="AV15" s="11"/>
      <c r="AW15" s="11"/>
      <c r="AX15" s="11"/>
      <c r="AY15" s="7"/>
      <c r="AZ15" s="7"/>
      <c r="BA15" s="11"/>
      <c r="BB15" s="11"/>
      <c r="BC15" s="7"/>
      <c r="BD15" s="7"/>
      <c r="BE15" s="69"/>
      <c r="BF15" s="69"/>
    </row>
    <row r="16" spans="2:58">
      <c r="B16" s="38" t="s">
        <v>20</v>
      </c>
      <c r="C16" s="39"/>
      <c r="D16" s="39"/>
      <c r="E16" s="40"/>
      <c r="F16" s="38">
        <v>2016</v>
      </c>
      <c r="G16" s="40"/>
      <c r="H16" s="44" t="s">
        <v>55</v>
      </c>
      <c r="I16" s="46"/>
      <c r="J16" s="44" t="s">
        <v>69</v>
      </c>
      <c r="K16" s="46"/>
      <c r="L16" s="13" t="s">
        <v>79</v>
      </c>
      <c r="M16" s="12" t="s">
        <v>70</v>
      </c>
      <c r="N16" s="44">
        <v>200</v>
      </c>
      <c r="O16" s="46"/>
      <c r="P16" s="44">
        <v>486</v>
      </c>
      <c r="Q16" s="46"/>
      <c r="R16" s="28">
        <f t="shared" si="0"/>
        <v>2.4300000000000002</v>
      </c>
      <c r="S16" s="29"/>
      <c r="T16" s="23">
        <f t="shared" si="1"/>
        <v>1.43</v>
      </c>
      <c r="U16" s="4"/>
      <c r="V16" s="9"/>
      <c r="X16" s="9"/>
      <c r="Y16" s="2"/>
      <c r="Z16" s="2"/>
      <c r="AA16" s="2"/>
      <c r="AB16" s="2"/>
      <c r="AC16" s="2"/>
      <c r="AD16" s="2"/>
      <c r="AE16" s="26" t="s">
        <v>111</v>
      </c>
      <c r="AF16" s="75"/>
      <c r="AG16" s="75"/>
      <c r="AH16" s="75"/>
      <c r="AI16" s="75"/>
      <c r="AJ16" s="27"/>
      <c r="AK16" s="2"/>
      <c r="AL16" s="26" t="s">
        <v>112</v>
      </c>
      <c r="AM16" s="75"/>
      <c r="AN16" s="75"/>
      <c r="AO16" s="75"/>
      <c r="AP16" s="75"/>
      <c r="AQ16" s="27"/>
      <c r="AR16" s="4"/>
      <c r="AS16" s="7"/>
      <c r="AT16" s="7"/>
      <c r="AU16" s="11"/>
      <c r="AV16" s="11"/>
      <c r="AW16" s="11"/>
      <c r="AX16" s="11"/>
      <c r="AY16" s="7"/>
      <c r="AZ16" s="7"/>
      <c r="BA16" s="11"/>
      <c r="BB16" s="12"/>
      <c r="BC16" s="7"/>
      <c r="BD16" s="7"/>
      <c r="BE16" s="69"/>
      <c r="BF16" s="69"/>
    </row>
    <row r="17" spans="2:58">
      <c r="B17" s="38" t="s">
        <v>21</v>
      </c>
      <c r="C17" s="39"/>
      <c r="D17" s="39"/>
      <c r="E17" s="40"/>
      <c r="F17" s="38">
        <v>1999</v>
      </c>
      <c r="G17" s="40"/>
      <c r="H17" s="44" t="s">
        <v>56</v>
      </c>
      <c r="I17" s="46"/>
      <c r="J17" s="44" t="s">
        <v>72</v>
      </c>
      <c r="K17" s="46"/>
      <c r="L17" s="13" t="s">
        <v>79</v>
      </c>
      <c r="M17" s="12" t="s">
        <v>70</v>
      </c>
      <c r="N17" s="44">
        <v>115</v>
      </c>
      <c r="O17" s="46"/>
      <c r="P17" s="44">
        <v>431</v>
      </c>
      <c r="Q17" s="46"/>
      <c r="R17" s="28">
        <f t="shared" si="0"/>
        <v>3.7478260869565219</v>
      </c>
      <c r="S17" s="29"/>
      <c r="T17" s="23">
        <f t="shared" si="1"/>
        <v>2.7478260869565219</v>
      </c>
      <c r="U17" s="4"/>
      <c r="V17" s="9"/>
      <c r="X17" s="9"/>
      <c r="Y17" s="26" t="s">
        <v>94</v>
      </c>
      <c r="Z17" s="27"/>
      <c r="AA17" s="2"/>
      <c r="AB17" s="26" t="s">
        <v>102</v>
      </c>
      <c r="AC17" s="27"/>
      <c r="AD17" s="2"/>
      <c r="AE17" s="9"/>
      <c r="AF17" s="7"/>
      <c r="AG17" s="11" t="s">
        <v>26</v>
      </c>
      <c r="AH17" s="11"/>
      <c r="AI17" s="11"/>
      <c r="AJ17" s="15">
        <v>32.64</v>
      </c>
      <c r="AK17" s="2"/>
      <c r="AL17" s="9"/>
      <c r="AM17" s="7"/>
      <c r="AN17" s="11" t="s">
        <v>26</v>
      </c>
      <c r="AO17" s="11"/>
      <c r="AP17" s="11"/>
      <c r="AQ17" s="15">
        <v>31.64</v>
      </c>
      <c r="AR17" s="4"/>
      <c r="AS17" s="7"/>
      <c r="AT17" s="7"/>
      <c r="AU17" s="7"/>
      <c r="AV17" s="7"/>
      <c r="AW17" s="7"/>
      <c r="AX17" s="7"/>
      <c r="AY17" s="7"/>
      <c r="AZ17" s="7"/>
      <c r="BA17" s="11"/>
      <c r="BB17" s="7"/>
      <c r="BC17" s="7"/>
      <c r="BD17" s="7"/>
      <c r="BE17" s="69"/>
      <c r="BF17" s="69"/>
    </row>
    <row r="18" spans="2:58">
      <c r="B18" s="38" t="s">
        <v>22</v>
      </c>
      <c r="C18" s="39"/>
      <c r="D18" s="39"/>
      <c r="E18" s="40"/>
      <c r="F18" s="38">
        <v>1977</v>
      </c>
      <c r="G18" s="40"/>
      <c r="H18" s="44" t="s">
        <v>56</v>
      </c>
      <c r="I18" s="46"/>
      <c r="J18" s="44" t="s">
        <v>72</v>
      </c>
      <c r="K18" s="46"/>
      <c r="L18" s="13" t="s">
        <v>79</v>
      </c>
      <c r="M18" s="12" t="s">
        <v>70</v>
      </c>
      <c r="N18" s="44">
        <v>11</v>
      </c>
      <c r="O18" s="46"/>
      <c r="P18" s="44">
        <v>307</v>
      </c>
      <c r="Q18" s="46"/>
      <c r="R18" s="28">
        <f t="shared" si="0"/>
        <v>27.90909090909091</v>
      </c>
      <c r="S18" s="29"/>
      <c r="T18" s="23">
        <f t="shared" si="1"/>
        <v>26.90909090909091</v>
      </c>
      <c r="U18" s="4"/>
      <c r="V18" s="9"/>
      <c r="X18" s="9"/>
      <c r="Y18" s="19" t="s">
        <v>76</v>
      </c>
      <c r="Z18" s="15">
        <v>4</v>
      </c>
      <c r="AA18" s="2"/>
      <c r="AB18" s="19" t="s">
        <v>67</v>
      </c>
      <c r="AC18" s="15">
        <v>25</v>
      </c>
      <c r="AD18" s="2"/>
      <c r="AE18" s="6"/>
      <c r="AF18" s="7"/>
      <c r="AG18" s="11" t="s">
        <v>22</v>
      </c>
      <c r="AH18" s="11"/>
      <c r="AI18" s="11"/>
      <c r="AJ18" s="15">
        <v>27.91</v>
      </c>
      <c r="AK18" s="2"/>
      <c r="AL18" s="6"/>
      <c r="AM18" s="7"/>
      <c r="AN18" s="11" t="s">
        <v>22</v>
      </c>
      <c r="AO18" s="11"/>
      <c r="AP18" s="11"/>
      <c r="AQ18" s="15">
        <v>26.91</v>
      </c>
      <c r="AR18" s="4"/>
      <c r="AS18" s="7"/>
      <c r="AT18" s="7"/>
      <c r="AU18" s="11"/>
      <c r="AV18" s="11"/>
      <c r="AW18" s="11"/>
      <c r="AX18" s="11"/>
      <c r="AY18" s="7"/>
      <c r="AZ18" s="7"/>
      <c r="BA18" s="11"/>
      <c r="BB18" s="7"/>
      <c r="BC18" s="7"/>
      <c r="BD18" s="7"/>
      <c r="BE18" s="69"/>
      <c r="BF18" s="69"/>
    </row>
    <row r="19" spans="2:58">
      <c r="B19" s="38" t="s">
        <v>23</v>
      </c>
      <c r="C19" s="39"/>
      <c r="D19" s="39"/>
      <c r="E19" s="40"/>
      <c r="F19" s="38">
        <v>2015</v>
      </c>
      <c r="G19" s="40"/>
      <c r="H19" s="44" t="s">
        <v>55</v>
      </c>
      <c r="I19" s="46"/>
      <c r="J19" s="44" t="s">
        <v>67</v>
      </c>
      <c r="K19" s="46"/>
      <c r="L19" s="13" t="s">
        <v>88</v>
      </c>
      <c r="M19" s="1" t="s">
        <v>66</v>
      </c>
      <c r="N19" s="44">
        <v>250</v>
      </c>
      <c r="O19" s="46"/>
      <c r="P19" s="44">
        <v>459</v>
      </c>
      <c r="Q19" s="46"/>
      <c r="R19" s="28">
        <f t="shared" si="0"/>
        <v>1.8360000000000001</v>
      </c>
      <c r="S19" s="29"/>
      <c r="T19" s="23">
        <f t="shared" si="1"/>
        <v>0.83599999999999997</v>
      </c>
      <c r="U19" s="4"/>
      <c r="V19" s="9"/>
      <c r="X19" s="9"/>
      <c r="Y19" s="19" t="s">
        <v>70</v>
      </c>
      <c r="Z19" s="15">
        <v>12</v>
      </c>
      <c r="AA19" s="2"/>
      <c r="AB19" s="19" t="s">
        <v>69</v>
      </c>
      <c r="AC19" s="15">
        <v>10</v>
      </c>
      <c r="AD19" s="2"/>
      <c r="AE19" s="6"/>
      <c r="AF19" s="7"/>
      <c r="AG19" s="7" t="s">
        <v>49</v>
      </c>
      <c r="AH19" s="7"/>
      <c r="AI19" s="7"/>
      <c r="AJ19" s="15">
        <v>12.33</v>
      </c>
      <c r="AK19" s="2"/>
      <c r="AL19" s="6"/>
      <c r="AM19" s="7"/>
      <c r="AN19" s="7" t="s">
        <v>49</v>
      </c>
      <c r="AO19" s="7"/>
      <c r="AP19" s="7"/>
      <c r="AQ19" s="15">
        <v>11.33</v>
      </c>
      <c r="AR19" s="4"/>
      <c r="AS19" s="7"/>
      <c r="AT19" s="7"/>
      <c r="AU19" s="7"/>
      <c r="AV19" s="7"/>
      <c r="AW19" s="7"/>
      <c r="AX19" s="7"/>
      <c r="AY19" s="7"/>
      <c r="AZ19" s="7"/>
      <c r="BA19" s="11"/>
      <c r="BB19" s="7"/>
      <c r="BC19" s="7"/>
      <c r="BD19" s="7"/>
      <c r="BE19" s="69"/>
      <c r="BF19" s="69"/>
    </row>
    <row r="20" spans="2:58">
      <c r="B20" s="38" t="s">
        <v>24</v>
      </c>
      <c r="C20" s="39"/>
      <c r="D20" s="39"/>
      <c r="E20" s="40"/>
      <c r="F20" s="38">
        <v>2012</v>
      </c>
      <c r="G20" s="40"/>
      <c r="H20" s="44" t="s">
        <v>59</v>
      </c>
      <c r="I20" s="46"/>
      <c r="J20" s="44" t="s">
        <v>67</v>
      </c>
      <c r="K20" s="46"/>
      <c r="L20" s="13" t="s">
        <v>79</v>
      </c>
      <c r="M20" s="1" t="s">
        <v>66</v>
      </c>
      <c r="N20" s="44">
        <v>250</v>
      </c>
      <c r="O20" s="46"/>
      <c r="P20" s="44">
        <v>448</v>
      </c>
      <c r="Q20" s="46"/>
      <c r="R20" s="28">
        <f t="shared" si="0"/>
        <v>1.792</v>
      </c>
      <c r="S20" s="29"/>
      <c r="T20" s="23">
        <f t="shared" si="1"/>
        <v>0.79200000000000004</v>
      </c>
      <c r="U20" s="4"/>
      <c r="V20" s="9"/>
      <c r="X20" s="9"/>
      <c r="Y20" s="19" t="s">
        <v>92</v>
      </c>
      <c r="Z20" s="15">
        <v>32</v>
      </c>
      <c r="AA20" s="2"/>
      <c r="AB20" s="19" t="s">
        <v>72</v>
      </c>
      <c r="AC20" s="15">
        <v>8</v>
      </c>
      <c r="AD20" s="2"/>
      <c r="AE20" s="6"/>
      <c r="AF20" s="7"/>
      <c r="AG20" s="7" t="s">
        <v>31</v>
      </c>
      <c r="AH20" s="7"/>
      <c r="AI20" s="7"/>
      <c r="AJ20" s="15">
        <v>6.96</v>
      </c>
      <c r="AK20" s="2"/>
      <c r="AL20" s="6"/>
      <c r="AM20" s="7"/>
      <c r="AN20" s="7" t="s">
        <v>31</v>
      </c>
      <c r="AO20" s="7"/>
      <c r="AP20" s="7"/>
      <c r="AQ20" s="15">
        <v>5.96</v>
      </c>
      <c r="AR20" s="4"/>
      <c r="AS20" s="7"/>
      <c r="AT20" s="7"/>
      <c r="AU20" s="7"/>
      <c r="AV20" s="7"/>
      <c r="AW20" s="7"/>
      <c r="AX20" s="11"/>
      <c r="AY20" s="7"/>
      <c r="AZ20" s="7"/>
      <c r="BA20" s="11"/>
      <c r="BB20" s="7"/>
      <c r="BC20" s="7"/>
      <c r="BD20" s="7"/>
      <c r="BE20" s="69"/>
      <c r="BF20" s="69"/>
    </row>
    <row r="21" spans="2:58">
      <c r="B21" s="38" t="s">
        <v>25</v>
      </c>
      <c r="C21" s="39"/>
      <c r="D21" s="39"/>
      <c r="E21" s="40"/>
      <c r="F21" s="38">
        <v>2004</v>
      </c>
      <c r="G21" s="40"/>
      <c r="H21" s="44" t="s">
        <v>60</v>
      </c>
      <c r="I21" s="46"/>
      <c r="J21" s="44" t="s">
        <v>67</v>
      </c>
      <c r="K21" s="46"/>
      <c r="L21" s="13" t="s">
        <v>79</v>
      </c>
      <c r="M21" s="7" t="s">
        <v>70</v>
      </c>
      <c r="N21" s="44">
        <v>150</v>
      </c>
      <c r="O21" s="46"/>
      <c r="P21" s="44">
        <v>441</v>
      </c>
      <c r="Q21" s="46"/>
      <c r="R21" s="28">
        <f t="shared" si="0"/>
        <v>2.94</v>
      </c>
      <c r="S21" s="29"/>
      <c r="T21" s="23">
        <f t="shared" si="1"/>
        <v>1.94</v>
      </c>
      <c r="U21" s="4"/>
      <c r="V21" s="9"/>
      <c r="X21" s="9"/>
      <c r="Y21" s="16" t="s">
        <v>68</v>
      </c>
      <c r="Z21" s="17">
        <v>2</v>
      </c>
      <c r="AA21" s="2"/>
      <c r="AB21" s="19" t="s">
        <v>71</v>
      </c>
      <c r="AC21" s="15">
        <v>3</v>
      </c>
      <c r="AD21" s="2"/>
      <c r="AE21" s="6"/>
      <c r="AF21" s="7"/>
      <c r="AG21" s="11" t="s">
        <v>53</v>
      </c>
      <c r="AH21" s="11"/>
      <c r="AI21" s="11"/>
      <c r="AJ21" s="15">
        <v>6.26</v>
      </c>
      <c r="AK21" s="2"/>
      <c r="AL21" s="6"/>
      <c r="AM21" s="7"/>
      <c r="AN21" s="11" t="s">
        <v>53</v>
      </c>
      <c r="AO21" s="11"/>
      <c r="AP21" s="11"/>
      <c r="AQ21" s="15">
        <v>5.26</v>
      </c>
      <c r="AR21" s="4"/>
      <c r="AS21" s="7"/>
      <c r="AT21" s="7"/>
      <c r="AU21" s="11"/>
      <c r="AV21" s="11"/>
      <c r="AW21" s="11"/>
      <c r="AX21" s="11"/>
      <c r="AY21" s="7"/>
      <c r="AZ21" s="7"/>
      <c r="BA21" s="11"/>
      <c r="BB21" s="7"/>
      <c r="BC21" s="7"/>
      <c r="BD21" s="7"/>
      <c r="BE21" s="69"/>
      <c r="BF21" s="69"/>
    </row>
    <row r="22" spans="2:58">
      <c r="B22" s="38" t="s">
        <v>26</v>
      </c>
      <c r="C22" s="39"/>
      <c r="D22" s="39"/>
      <c r="E22" s="40"/>
      <c r="F22" s="38">
        <v>1982</v>
      </c>
      <c r="G22" s="40"/>
      <c r="H22" s="44" t="s">
        <v>58</v>
      </c>
      <c r="I22" s="46"/>
      <c r="J22" s="44" t="s">
        <v>67</v>
      </c>
      <c r="K22" s="46"/>
      <c r="L22" s="13" t="s">
        <v>79</v>
      </c>
      <c r="M22" s="12" t="s">
        <v>70</v>
      </c>
      <c r="N22" s="44">
        <v>11</v>
      </c>
      <c r="O22" s="46"/>
      <c r="P22" s="44">
        <v>359</v>
      </c>
      <c r="Q22" s="46"/>
      <c r="R22" s="28">
        <f t="shared" si="0"/>
        <v>32.636363636363633</v>
      </c>
      <c r="S22" s="29"/>
      <c r="T22" s="23">
        <f t="shared" si="1"/>
        <v>31.636363636363637</v>
      </c>
      <c r="U22" s="4"/>
      <c r="V22" s="9"/>
      <c r="X22" s="9"/>
      <c r="Y22" s="2"/>
      <c r="Z22" s="2"/>
      <c r="AA22" s="2"/>
      <c r="AB22" s="19" t="s">
        <v>86</v>
      </c>
      <c r="AC22" s="15">
        <v>1</v>
      </c>
      <c r="AD22" s="2"/>
      <c r="AE22" s="6"/>
      <c r="AF22" s="7"/>
      <c r="AG22" s="7" t="s">
        <v>40</v>
      </c>
      <c r="AH22" s="7"/>
      <c r="AI22" s="7"/>
      <c r="AJ22" s="15">
        <v>5.67</v>
      </c>
      <c r="AK22" s="2"/>
      <c r="AL22" s="6"/>
      <c r="AM22" s="7"/>
      <c r="AN22" s="7" t="s">
        <v>40</v>
      </c>
      <c r="AO22" s="7"/>
      <c r="AP22" s="7"/>
      <c r="AQ22" s="15">
        <v>4.67</v>
      </c>
      <c r="AR22" s="4"/>
      <c r="AS22" s="7"/>
      <c r="AT22" s="7"/>
      <c r="AU22" s="11"/>
      <c r="AV22" s="11"/>
      <c r="AW22" s="11"/>
      <c r="AX22" s="11"/>
      <c r="AY22" s="7"/>
      <c r="AZ22" s="7"/>
      <c r="BA22" s="11"/>
      <c r="BB22" s="12"/>
      <c r="BC22" s="7"/>
      <c r="BD22" s="7"/>
      <c r="BE22" s="69"/>
      <c r="BF22" s="69"/>
    </row>
    <row r="23" spans="2:58">
      <c r="B23" s="38" t="s">
        <v>27</v>
      </c>
      <c r="C23" s="39"/>
      <c r="D23" s="39"/>
      <c r="E23" s="40"/>
      <c r="F23" s="38">
        <v>2019</v>
      </c>
      <c r="G23" s="40"/>
      <c r="H23" s="44" t="s">
        <v>55</v>
      </c>
      <c r="I23" s="46"/>
      <c r="J23" s="44" t="s">
        <v>78</v>
      </c>
      <c r="K23" s="46"/>
      <c r="L23" s="13" t="s">
        <v>79</v>
      </c>
      <c r="M23" s="12" t="s">
        <v>76</v>
      </c>
      <c r="N23" s="44">
        <v>200</v>
      </c>
      <c r="O23" s="46"/>
      <c r="P23" s="44">
        <v>431</v>
      </c>
      <c r="Q23" s="46"/>
      <c r="R23" s="28">
        <f t="shared" si="0"/>
        <v>2.1549999999999998</v>
      </c>
      <c r="S23" s="29"/>
      <c r="T23" s="23">
        <f t="shared" si="1"/>
        <v>1.155</v>
      </c>
      <c r="U23" s="4"/>
      <c r="V23" s="9"/>
      <c r="X23" s="9"/>
      <c r="Y23" s="26" t="s">
        <v>103</v>
      </c>
      <c r="Z23" s="27"/>
      <c r="AA23" s="2"/>
      <c r="AB23" s="19" t="s">
        <v>83</v>
      </c>
      <c r="AC23" s="15">
        <v>1</v>
      </c>
      <c r="AD23" s="2"/>
      <c r="AE23" s="6"/>
      <c r="AF23" s="7"/>
      <c r="AG23" s="7" t="s">
        <v>37</v>
      </c>
      <c r="AH23" s="7"/>
      <c r="AI23" s="7"/>
      <c r="AJ23" s="15">
        <v>5.23</v>
      </c>
      <c r="AK23" s="2"/>
      <c r="AL23" s="6"/>
      <c r="AM23" s="7"/>
      <c r="AN23" s="7" t="s">
        <v>37</v>
      </c>
      <c r="AO23" s="7"/>
      <c r="AP23" s="7"/>
      <c r="AQ23" s="15">
        <v>4.2300000000000004</v>
      </c>
      <c r="AR23" s="4"/>
      <c r="AS23" s="7"/>
      <c r="AT23" s="7"/>
      <c r="AU23" s="11"/>
      <c r="AV23" s="11"/>
      <c r="AW23" s="11"/>
      <c r="AX23" s="11"/>
      <c r="AY23" s="7"/>
      <c r="AZ23" s="7"/>
      <c r="BA23" s="11"/>
      <c r="BB23" s="7"/>
      <c r="BC23" s="7"/>
      <c r="BD23" s="7"/>
      <c r="BE23" s="69"/>
      <c r="BF23" s="69"/>
    </row>
    <row r="24" spans="2:58">
      <c r="B24" s="38" t="s">
        <v>28</v>
      </c>
      <c r="C24" s="39"/>
      <c r="D24" s="39"/>
      <c r="E24" s="40"/>
      <c r="F24" s="38">
        <v>2019</v>
      </c>
      <c r="G24" s="40"/>
      <c r="H24" s="44" t="s">
        <v>55</v>
      </c>
      <c r="I24" s="46"/>
      <c r="J24" s="44" t="s">
        <v>67</v>
      </c>
      <c r="K24" s="46"/>
      <c r="L24" s="13" t="s">
        <v>88</v>
      </c>
      <c r="M24" s="1" t="s">
        <v>66</v>
      </c>
      <c r="N24" s="44">
        <v>152</v>
      </c>
      <c r="O24" s="46"/>
      <c r="P24" s="44">
        <v>427</v>
      </c>
      <c r="Q24" s="46"/>
      <c r="R24" s="28">
        <f t="shared" si="0"/>
        <v>2.8092105263157894</v>
      </c>
      <c r="S24" s="29"/>
      <c r="T24" s="23">
        <f t="shared" si="1"/>
        <v>1.8092105263157894</v>
      </c>
      <c r="U24" s="4"/>
      <c r="V24" s="9"/>
      <c r="X24" s="9"/>
      <c r="Y24" s="64" t="s">
        <v>79</v>
      </c>
      <c r="Z24" s="65">
        <v>27</v>
      </c>
      <c r="AA24" s="2"/>
      <c r="AB24" s="19" t="s">
        <v>81</v>
      </c>
      <c r="AC24" s="15">
        <v>0</v>
      </c>
      <c r="AD24" s="2"/>
      <c r="AE24" s="6"/>
      <c r="AF24" s="7"/>
      <c r="AG24" s="7" t="s">
        <v>50</v>
      </c>
      <c r="AH24" s="7"/>
      <c r="AI24" s="7"/>
      <c r="AJ24" s="15">
        <v>4.91</v>
      </c>
      <c r="AK24" s="2"/>
      <c r="AL24" s="6"/>
      <c r="AM24" s="7"/>
      <c r="AN24" s="7" t="s">
        <v>50</v>
      </c>
      <c r="AO24" s="7"/>
      <c r="AP24" s="7"/>
      <c r="AQ24" s="15">
        <v>3.91</v>
      </c>
      <c r="AR24" s="4"/>
      <c r="AS24" s="7"/>
      <c r="AT24" s="7"/>
      <c r="AU24" s="11"/>
      <c r="AV24" s="11"/>
      <c r="AW24" s="11"/>
      <c r="AX24" s="11"/>
      <c r="AY24" s="7"/>
      <c r="AZ24" s="7"/>
      <c r="BA24" s="11"/>
      <c r="BB24" s="7"/>
      <c r="BC24" s="7"/>
      <c r="BD24" s="7"/>
      <c r="BE24" s="69"/>
      <c r="BF24" s="69"/>
    </row>
    <row r="25" spans="2:58">
      <c r="B25" s="44" t="s">
        <v>29</v>
      </c>
      <c r="C25" s="45"/>
      <c r="D25" s="45"/>
      <c r="E25" s="46"/>
      <c r="F25" s="38">
        <v>2013</v>
      </c>
      <c r="G25" s="40"/>
      <c r="H25" s="44" t="s">
        <v>61</v>
      </c>
      <c r="I25" s="46"/>
      <c r="J25" s="44" t="s">
        <v>67</v>
      </c>
      <c r="K25" s="46"/>
      <c r="L25" s="13" t="s">
        <v>88</v>
      </c>
      <c r="M25" s="7" t="s">
        <v>66</v>
      </c>
      <c r="N25" s="44">
        <v>130</v>
      </c>
      <c r="O25" s="46"/>
      <c r="P25" s="44">
        <v>425</v>
      </c>
      <c r="Q25" s="46"/>
      <c r="R25" s="28">
        <f t="shared" si="0"/>
        <v>3.2692307692307692</v>
      </c>
      <c r="S25" s="29"/>
      <c r="T25" s="23">
        <f t="shared" si="1"/>
        <v>2.2692307692307692</v>
      </c>
      <c r="U25" s="4"/>
      <c r="V25" s="9"/>
      <c r="X25" s="9"/>
      <c r="Y25" s="66" t="s">
        <v>88</v>
      </c>
      <c r="Z25" s="67">
        <v>23</v>
      </c>
      <c r="AA25" s="2"/>
      <c r="AB25" s="62"/>
      <c r="AC25" s="5"/>
      <c r="AD25" s="2"/>
      <c r="AE25" s="6"/>
      <c r="AF25" s="7"/>
      <c r="AG25" s="7" t="s">
        <v>51</v>
      </c>
      <c r="AH25" s="7"/>
      <c r="AI25" s="7"/>
      <c r="AJ25" s="15">
        <v>4.84</v>
      </c>
      <c r="AK25" s="2"/>
      <c r="AL25" s="6"/>
      <c r="AM25" s="7"/>
      <c r="AN25" s="7" t="s">
        <v>51</v>
      </c>
      <c r="AO25" s="7"/>
      <c r="AP25" s="7"/>
      <c r="AQ25" s="15">
        <v>3.84</v>
      </c>
      <c r="AR25" s="4"/>
      <c r="AS25" s="7"/>
      <c r="AT25" s="7"/>
      <c r="AU25" s="11"/>
      <c r="AV25" s="11"/>
      <c r="AW25" s="11"/>
      <c r="AX25" s="11"/>
      <c r="AY25" s="7"/>
      <c r="AZ25" s="7"/>
      <c r="BA25" s="11"/>
      <c r="BB25" s="7"/>
      <c r="BC25" s="7"/>
      <c r="BD25" s="7"/>
      <c r="BE25" s="69"/>
      <c r="BF25" s="69"/>
    </row>
    <row r="26" spans="2:58">
      <c r="B26" s="44" t="s">
        <v>30</v>
      </c>
      <c r="C26" s="45"/>
      <c r="D26" s="45"/>
      <c r="E26" s="46"/>
      <c r="F26" s="44">
        <v>2006</v>
      </c>
      <c r="G26" s="46"/>
      <c r="H26" s="44" t="s">
        <v>55</v>
      </c>
      <c r="I26" s="46"/>
      <c r="J26" s="44" t="s">
        <v>67</v>
      </c>
      <c r="K26" s="46"/>
      <c r="L26" s="13" t="s">
        <v>79</v>
      </c>
      <c r="M26" s="1" t="s">
        <v>66</v>
      </c>
      <c r="N26" s="44">
        <v>225</v>
      </c>
      <c r="O26" s="46"/>
      <c r="P26" s="44">
        <v>423</v>
      </c>
      <c r="Q26" s="46"/>
      <c r="R26" s="28">
        <f t="shared" si="0"/>
        <v>1.88</v>
      </c>
      <c r="S26" s="29"/>
      <c r="T26" s="23">
        <f t="shared" si="1"/>
        <v>0.88</v>
      </c>
      <c r="U26" s="4"/>
      <c r="V26" s="9"/>
      <c r="X26" s="9"/>
      <c r="Y26" s="2"/>
      <c r="Z26" s="2"/>
      <c r="AA26" s="2"/>
      <c r="AB26" s="2"/>
      <c r="AC26" s="2"/>
      <c r="AD26" s="2"/>
      <c r="AE26" s="6"/>
      <c r="AF26" s="7"/>
      <c r="AG26" s="7" t="s">
        <v>38</v>
      </c>
      <c r="AH26" s="7"/>
      <c r="AI26" s="7"/>
      <c r="AJ26" s="15">
        <v>4.5</v>
      </c>
      <c r="AK26" s="2"/>
      <c r="AL26" s="6"/>
      <c r="AM26" s="7"/>
      <c r="AN26" s="7" t="s">
        <v>38</v>
      </c>
      <c r="AO26" s="7"/>
      <c r="AP26" s="7"/>
      <c r="AQ26" s="15">
        <v>3.5</v>
      </c>
      <c r="AR26" s="4"/>
      <c r="AS26" s="7"/>
      <c r="AT26" s="7"/>
      <c r="AU26" s="7"/>
      <c r="AV26" s="7"/>
      <c r="AW26" s="7"/>
      <c r="AX26" s="7"/>
      <c r="AY26" s="7"/>
      <c r="AZ26" s="7"/>
      <c r="BA26" s="11"/>
      <c r="BB26" s="7"/>
      <c r="BC26" s="7"/>
      <c r="BD26" s="7"/>
      <c r="BE26" s="69"/>
      <c r="BF26" s="69"/>
    </row>
    <row r="27" spans="2:58">
      <c r="B27" s="44" t="s">
        <v>31</v>
      </c>
      <c r="C27" s="45"/>
      <c r="D27" s="45"/>
      <c r="E27" s="46"/>
      <c r="F27" s="44">
        <v>1994</v>
      </c>
      <c r="G27" s="46"/>
      <c r="H27" s="44" t="s">
        <v>55</v>
      </c>
      <c r="I27" s="46"/>
      <c r="J27" s="44" t="s">
        <v>69</v>
      </c>
      <c r="K27" s="46"/>
      <c r="L27" s="13" t="s">
        <v>79</v>
      </c>
      <c r="M27" s="7" t="s">
        <v>76</v>
      </c>
      <c r="N27" s="44">
        <v>45</v>
      </c>
      <c r="O27" s="46"/>
      <c r="P27" s="44">
        <v>313</v>
      </c>
      <c r="Q27" s="46"/>
      <c r="R27" s="28">
        <f t="shared" si="0"/>
        <v>6.9555555555555557</v>
      </c>
      <c r="S27" s="29"/>
      <c r="T27" s="23">
        <f t="shared" si="1"/>
        <v>5.9555555555555557</v>
      </c>
      <c r="U27" s="4"/>
      <c r="V27" s="9"/>
      <c r="X27" s="9"/>
      <c r="Y27" s="26" t="s">
        <v>101</v>
      </c>
      <c r="Z27" s="27"/>
      <c r="AA27" s="2"/>
      <c r="AB27" s="26" t="s">
        <v>105</v>
      </c>
      <c r="AC27" s="27"/>
      <c r="AD27" s="2"/>
      <c r="AE27" s="6"/>
      <c r="AF27" s="7"/>
      <c r="AG27" s="11" t="s">
        <v>12</v>
      </c>
      <c r="AH27" s="11"/>
      <c r="AI27" s="11"/>
      <c r="AJ27" s="15">
        <v>4.3499999999999996</v>
      </c>
      <c r="AK27" s="2"/>
      <c r="AL27" s="6"/>
      <c r="AM27" s="7"/>
      <c r="AN27" s="11" t="s">
        <v>12</v>
      </c>
      <c r="AO27" s="11"/>
      <c r="AP27" s="11"/>
      <c r="AQ27" s="15">
        <v>3.35</v>
      </c>
      <c r="AR27" s="4"/>
      <c r="AS27" s="7"/>
      <c r="AT27" s="7"/>
      <c r="AU27" s="11"/>
      <c r="AV27" s="11"/>
      <c r="AW27" s="11"/>
      <c r="AX27" s="11"/>
      <c r="AY27" s="7"/>
      <c r="AZ27" s="7"/>
      <c r="BA27" s="11"/>
      <c r="BB27" s="7"/>
      <c r="BC27" s="7"/>
      <c r="BD27" s="7"/>
      <c r="BE27" s="69"/>
      <c r="BF27" s="69"/>
    </row>
    <row r="28" spans="2:58">
      <c r="B28" s="44" t="s">
        <v>32</v>
      </c>
      <c r="C28" s="45"/>
      <c r="D28" s="45"/>
      <c r="E28" s="46"/>
      <c r="F28" s="44">
        <v>2018</v>
      </c>
      <c r="G28" s="46"/>
      <c r="H28" s="44" t="s">
        <v>58</v>
      </c>
      <c r="I28" s="46"/>
      <c r="J28" s="44" t="s">
        <v>67</v>
      </c>
      <c r="K28" s="46"/>
      <c r="L28" s="13" t="s">
        <v>79</v>
      </c>
      <c r="M28" s="1" t="s">
        <v>66</v>
      </c>
      <c r="N28" s="44">
        <v>170</v>
      </c>
      <c r="O28" s="46"/>
      <c r="P28" s="44">
        <v>418</v>
      </c>
      <c r="Q28" s="46"/>
      <c r="R28" s="28">
        <f t="shared" si="0"/>
        <v>2.4588235294117649</v>
      </c>
      <c r="S28" s="29"/>
      <c r="T28" s="23">
        <f t="shared" si="1"/>
        <v>1.4588235294117646</v>
      </c>
      <c r="U28" s="4"/>
      <c r="V28" s="9"/>
      <c r="X28" s="9"/>
      <c r="Y28" s="19" t="s">
        <v>95</v>
      </c>
      <c r="Z28" s="15">
        <v>5</v>
      </c>
      <c r="AA28" s="2"/>
      <c r="AB28" s="19">
        <v>2019</v>
      </c>
      <c r="AC28" s="15">
        <v>5</v>
      </c>
      <c r="AD28" s="2"/>
      <c r="AE28" s="6"/>
      <c r="AF28" s="7"/>
      <c r="AG28" s="7" t="s">
        <v>47</v>
      </c>
      <c r="AH28" s="7"/>
      <c r="AI28" s="7"/>
      <c r="AJ28" s="15">
        <v>4.01</v>
      </c>
      <c r="AK28" s="2"/>
      <c r="AL28" s="6"/>
      <c r="AM28" s="7"/>
      <c r="AN28" s="7" t="s">
        <v>47</v>
      </c>
      <c r="AO28" s="7"/>
      <c r="AP28" s="7"/>
      <c r="AQ28" s="15">
        <v>3.01</v>
      </c>
      <c r="AR28" s="4"/>
      <c r="AS28" s="7"/>
      <c r="AT28" s="7"/>
      <c r="AU28" s="11"/>
      <c r="AV28" s="11"/>
      <c r="AW28" s="11"/>
      <c r="AX28" s="11"/>
      <c r="AY28" s="7"/>
      <c r="AZ28" s="7"/>
      <c r="BA28" s="11"/>
      <c r="BB28" s="7"/>
      <c r="BC28" s="7"/>
      <c r="BD28" s="7"/>
      <c r="BE28" s="69"/>
      <c r="BF28" s="69"/>
    </row>
    <row r="29" spans="2:58">
      <c r="B29" s="44" t="s">
        <v>33</v>
      </c>
      <c r="C29" s="45"/>
      <c r="D29" s="45"/>
      <c r="E29" s="46"/>
      <c r="F29" s="44">
        <v>2010</v>
      </c>
      <c r="G29" s="46"/>
      <c r="H29" s="44" t="s">
        <v>55</v>
      </c>
      <c r="I29" s="46"/>
      <c r="J29" s="44" t="s">
        <v>69</v>
      </c>
      <c r="K29" s="46"/>
      <c r="L29" s="13" t="s">
        <v>79</v>
      </c>
      <c r="M29" s="7" t="s">
        <v>76</v>
      </c>
      <c r="N29" s="44">
        <v>200</v>
      </c>
      <c r="O29" s="46"/>
      <c r="P29" s="44">
        <v>415</v>
      </c>
      <c r="Q29" s="46"/>
      <c r="R29" s="28">
        <f t="shared" si="0"/>
        <v>2.0750000000000002</v>
      </c>
      <c r="S29" s="29"/>
      <c r="T29" s="23">
        <f t="shared" si="1"/>
        <v>1.075</v>
      </c>
      <c r="U29" s="4"/>
      <c r="V29" s="9"/>
      <c r="X29" s="9"/>
      <c r="Y29" s="19" t="s">
        <v>96</v>
      </c>
      <c r="Z29" s="15">
        <v>8</v>
      </c>
      <c r="AA29" s="2"/>
      <c r="AB29" s="19">
        <v>2018</v>
      </c>
      <c r="AC29" s="15">
        <v>4</v>
      </c>
      <c r="AD29" s="2"/>
      <c r="AE29" s="6"/>
      <c r="AF29" s="7"/>
      <c r="AG29" s="11" t="s">
        <v>6</v>
      </c>
      <c r="AH29" s="11"/>
      <c r="AI29" s="11"/>
      <c r="AJ29" s="15">
        <v>3.82</v>
      </c>
      <c r="AK29" s="2"/>
      <c r="AL29" s="6"/>
      <c r="AM29" s="7"/>
      <c r="AN29" s="11" t="s">
        <v>6</v>
      </c>
      <c r="AO29" s="11"/>
      <c r="AP29" s="11"/>
      <c r="AQ29" s="15">
        <v>2.82</v>
      </c>
      <c r="AR29" s="4"/>
      <c r="AS29" s="7"/>
      <c r="AT29" s="7"/>
      <c r="AU29" s="11"/>
      <c r="AV29" s="11"/>
      <c r="AW29" s="11"/>
      <c r="AX29" s="11"/>
      <c r="AY29" s="7"/>
      <c r="AZ29" s="7"/>
      <c r="BA29" s="11"/>
      <c r="BB29" s="7"/>
      <c r="BC29" s="7"/>
      <c r="BD29" s="7"/>
      <c r="BE29" s="69"/>
      <c r="BF29" s="69"/>
    </row>
    <row r="30" spans="2:58">
      <c r="B30" s="44" t="s">
        <v>34</v>
      </c>
      <c r="C30" s="45"/>
      <c r="D30" s="45"/>
      <c r="E30" s="46"/>
      <c r="F30" s="44">
        <v>2017</v>
      </c>
      <c r="G30" s="46"/>
      <c r="H30" s="44" t="s">
        <v>59</v>
      </c>
      <c r="I30" s="46"/>
      <c r="J30" s="44" t="s">
        <v>67</v>
      </c>
      <c r="K30" s="46"/>
      <c r="L30" s="13" t="s">
        <v>88</v>
      </c>
      <c r="M30" s="1" t="s">
        <v>66</v>
      </c>
      <c r="N30" s="44">
        <v>149</v>
      </c>
      <c r="O30" s="46"/>
      <c r="P30" s="44">
        <v>413</v>
      </c>
      <c r="Q30" s="46"/>
      <c r="R30" s="28">
        <f t="shared" si="0"/>
        <v>2.7718120805369129</v>
      </c>
      <c r="S30" s="29"/>
      <c r="T30" s="23">
        <f t="shared" si="1"/>
        <v>1.7718120805369129</v>
      </c>
      <c r="U30" s="4"/>
      <c r="V30" s="9"/>
      <c r="X30" s="9"/>
      <c r="Y30" s="19" t="s">
        <v>97</v>
      </c>
      <c r="Z30" s="15">
        <v>8</v>
      </c>
      <c r="AA30" s="2"/>
      <c r="AB30" s="19">
        <v>2017</v>
      </c>
      <c r="AC30" s="15">
        <v>5</v>
      </c>
      <c r="AD30" s="2"/>
      <c r="AE30" s="6"/>
      <c r="AF30" s="7"/>
      <c r="AG30" s="11" t="s">
        <v>21</v>
      </c>
      <c r="AH30" s="11"/>
      <c r="AI30" s="11"/>
      <c r="AJ30" s="15">
        <v>3.75</v>
      </c>
      <c r="AK30" s="2"/>
      <c r="AL30" s="6"/>
      <c r="AM30" s="7"/>
      <c r="AN30" s="11" t="s">
        <v>21</v>
      </c>
      <c r="AO30" s="11"/>
      <c r="AP30" s="11"/>
      <c r="AQ30" s="15">
        <v>2.75</v>
      </c>
      <c r="AR30" s="4"/>
      <c r="AS30" s="7"/>
      <c r="AT30" s="7"/>
      <c r="AU30" s="7"/>
      <c r="AV30" s="7"/>
      <c r="AW30" s="7"/>
      <c r="AX30" s="7"/>
      <c r="AY30" s="7"/>
      <c r="AZ30" s="7"/>
      <c r="BA30" s="11"/>
      <c r="BB30" s="7"/>
      <c r="BC30" s="7"/>
      <c r="BD30" s="7"/>
      <c r="BE30" s="69"/>
      <c r="BF30" s="69"/>
    </row>
    <row r="31" spans="2:58">
      <c r="B31" s="44" t="s">
        <v>35</v>
      </c>
      <c r="C31" s="45"/>
      <c r="D31" s="45"/>
      <c r="E31" s="46"/>
      <c r="F31" s="44">
        <v>2013</v>
      </c>
      <c r="G31" s="46"/>
      <c r="H31" s="44" t="s">
        <v>55</v>
      </c>
      <c r="I31" s="46"/>
      <c r="J31" s="44" t="s">
        <v>67</v>
      </c>
      <c r="K31" s="46"/>
      <c r="L31" s="13" t="s">
        <v>88</v>
      </c>
      <c r="M31" s="1" t="s">
        <v>66</v>
      </c>
      <c r="N31" s="44">
        <v>200</v>
      </c>
      <c r="O31" s="46"/>
      <c r="P31" s="44">
        <v>409</v>
      </c>
      <c r="Q31" s="46"/>
      <c r="R31" s="28">
        <f t="shared" si="0"/>
        <v>2.0449999999999999</v>
      </c>
      <c r="S31" s="29"/>
      <c r="T31" s="23">
        <f t="shared" si="1"/>
        <v>1.0449999999999999</v>
      </c>
      <c r="U31" s="4"/>
      <c r="V31" s="9"/>
      <c r="X31" s="9"/>
      <c r="Y31" s="19" t="s">
        <v>98</v>
      </c>
      <c r="Z31" s="15">
        <v>18</v>
      </c>
      <c r="AA31" s="2"/>
      <c r="AB31" s="19">
        <v>2016</v>
      </c>
      <c r="AC31" s="15">
        <v>6</v>
      </c>
      <c r="AD31" s="2"/>
      <c r="AE31" s="6"/>
      <c r="AF31" s="7"/>
      <c r="AG31" s="7" t="s">
        <v>46</v>
      </c>
      <c r="AH31" s="7"/>
      <c r="AI31" s="7"/>
      <c r="AJ31" s="15">
        <v>3.62</v>
      </c>
      <c r="AK31" s="2"/>
      <c r="AL31" s="6"/>
      <c r="AM31" s="7"/>
      <c r="AN31" s="7" t="s">
        <v>46</v>
      </c>
      <c r="AO31" s="7"/>
      <c r="AP31" s="7"/>
      <c r="AQ31" s="15">
        <v>2.62</v>
      </c>
      <c r="AR31" s="4"/>
      <c r="AS31" s="7"/>
      <c r="AT31" s="7"/>
      <c r="AU31" s="7"/>
      <c r="AV31" s="7"/>
      <c r="AW31" s="7"/>
      <c r="AX31" s="7"/>
      <c r="AY31" s="7"/>
      <c r="AZ31" s="7"/>
      <c r="BA31" s="11"/>
      <c r="BB31" s="7"/>
      <c r="BC31" s="7"/>
      <c r="BD31" s="7"/>
      <c r="BE31" s="69"/>
      <c r="BF31" s="69"/>
    </row>
    <row r="32" spans="2:58">
      <c r="B32" s="44" t="s">
        <v>36</v>
      </c>
      <c r="C32" s="45"/>
      <c r="D32" s="45"/>
      <c r="E32" s="46"/>
      <c r="F32" s="44">
        <v>2016</v>
      </c>
      <c r="G32" s="46"/>
      <c r="H32" s="44" t="s">
        <v>55</v>
      </c>
      <c r="I32" s="46"/>
      <c r="J32" s="44" t="s">
        <v>67</v>
      </c>
      <c r="K32" s="46"/>
      <c r="L32" s="13" t="s">
        <v>88</v>
      </c>
      <c r="M32" s="1" t="s">
        <v>66</v>
      </c>
      <c r="N32" s="44">
        <v>250</v>
      </c>
      <c r="O32" s="46"/>
      <c r="P32" s="44">
        <v>408</v>
      </c>
      <c r="Q32" s="46"/>
      <c r="R32" s="28">
        <f t="shared" si="0"/>
        <v>1.6319999999999999</v>
      </c>
      <c r="S32" s="29"/>
      <c r="T32" s="23">
        <f t="shared" si="1"/>
        <v>0.63200000000000001</v>
      </c>
      <c r="U32" s="4"/>
      <c r="V32" s="9"/>
      <c r="X32" s="9"/>
      <c r="Y32" s="19" t="s">
        <v>99</v>
      </c>
      <c r="Z32" s="15">
        <v>8</v>
      </c>
      <c r="AA32" s="2"/>
      <c r="AB32" s="19">
        <v>2015</v>
      </c>
      <c r="AC32" s="15">
        <v>4</v>
      </c>
      <c r="AD32" s="2"/>
      <c r="AE32" s="6"/>
      <c r="AF32" s="7"/>
      <c r="AG32" s="11" t="s">
        <v>9</v>
      </c>
      <c r="AH32" s="11"/>
      <c r="AI32" s="11"/>
      <c r="AJ32" s="15">
        <v>3.5</v>
      </c>
      <c r="AK32" s="2"/>
      <c r="AL32" s="6"/>
      <c r="AM32" s="7"/>
      <c r="AN32" s="11" t="s">
        <v>9</v>
      </c>
      <c r="AO32" s="11"/>
      <c r="AP32" s="11"/>
      <c r="AQ32" s="15">
        <v>2.5</v>
      </c>
      <c r="AR32" s="4"/>
      <c r="AS32" s="7"/>
      <c r="AT32" s="7"/>
      <c r="AU32" s="11"/>
      <c r="AV32" s="11"/>
      <c r="AW32" s="11"/>
      <c r="AX32" s="11"/>
      <c r="AY32" s="7"/>
      <c r="AZ32" s="7"/>
      <c r="BA32" s="11"/>
      <c r="BB32" s="7"/>
      <c r="BC32" s="7"/>
      <c r="BD32" s="7"/>
      <c r="BE32" s="69"/>
      <c r="BF32" s="69"/>
    </row>
    <row r="33" spans="2:58">
      <c r="B33" s="44" t="s">
        <v>37</v>
      </c>
      <c r="C33" s="45"/>
      <c r="D33" s="45"/>
      <c r="E33" s="46"/>
      <c r="F33" s="44">
        <v>2012</v>
      </c>
      <c r="G33" s="46"/>
      <c r="H33" s="44" t="s">
        <v>61</v>
      </c>
      <c r="I33" s="46"/>
      <c r="J33" s="44" t="s">
        <v>67</v>
      </c>
      <c r="K33" s="46"/>
      <c r="L33" s="13" t="s">
        <v>88</v>
      </c>
      <c r="M33" s="1" t="s">
        <v>66</v>
      </c>
      <c r="N33" s="44">
        <v>78</v>
      </c>
      <c r="O33" s="46"/>
      <c r="P33" s="44">
        <v>408</v>
      </c>
      <c r="Q33" s="46"/>
      <c r="R33" s="28">
        <f t="shared" si="0"/>
        <v>5.2307692307692308</v>
      </c>
      <c r="S33" s="29"/>
      <c r="T33" s="23">
        <f t="shared" si="1"/>
        <v>4.2307692307692308</v>
      </c>
      <c r="U33" s="4"/>
      <c r="V33" s="9"/>
      <c r="X33" s="9"/>
      <c r="Y33" s="16" t="s">
        <v>100</v>
      </c>
      <c r="Z33" s="17">
        <v>4</v>
      </c>
      <c r="AA33" s="2"/>
      <c r="AB33" s="19">
        <v>2014</v>
      </c>
      <c r="AC33" s="15">
        <v>4</v>
      </c>
      <c r="AD33" s="2"/>
      <c r="AE33" s="6"/>
      <c r="AF33" s="7"/>
      <c r="AG33" s="7" t="s">
        <v>85</v>
      </c>
      <c r="AH33" s="7"/>
      <c r="AI33" s="7"/>
      <c r="AJ33" s="15">
        <v>3.36</v>
      </c>
      <c r="AK33" s="2"/>
      <c r="AL33" s="6"/>
      <c r="AM33" s="7"/>
      <c r="AN33" s="7" t="s">
        <v>85</v>
      </c>
      <c r="AO33" s="7"/>
      <c r="AP33" s="7"/>
      <c r="AQ33" s="15">
        <v>2.36</v>
      </c>
      <c r="AR33" s="4"/>
      <c r="AS33" s="7"/>
      <c r="AT33" s="7"/>
      <c r="AU33" s="7"/>
      <c r="AV33" s="7"/>
      <c r="AW33" s="7"/>
      <c r="AX33" s="7"/>
      <c r="AY33" s="7"/>
      <c r="AZ33" s="7"/>
      <c r="BA33" s="11"/>
      <c r="BB33" s="7"/>
      <c r="BC33" s="7"/>
      <c r="BD33" s="7"/>
      <c r="BE33" s="69"/>
      <c r="BF33" s="69"/>
    </row>
    <row r="34" spans="2:58">
      <c r="B34" s="44" t="s">
        <v>38</v>
      </c>
      <c r="C34" s="45"/>
      <c r="D34" s="45"/>
      <c r="E34" s="46"/>
      <c r="F34" s="44">
        <v>2017</v>
      </c>
      <c r="G34" s="46"/>
      <c r="H34" s="44" t="s">
        <v>62</v>
      </c>
      <c r="I34" s="46"/>
      <c r="J34" s="44" t="s">
        <v>86</v>
      </c>
      <c r="K34" s="46"/>
      <c r="L34" s="13" t="s">
        <v>79</v>
      </c>
      <c r="M34" s="1" t="s">
        <v>66</v>
      </c>
      <c r="N34" s="44">
        <v>90</v>
      </c>
      <c r="O34" s="46"/>
      <c r="P34" s="44">
        <v>405</v>
      </c>
      <c r="Q34" s="46"/>
      <c r="R34" s="28">
        <f t="shared" si="0"/>
        <v>4.5</v>
      </c>
      <c r="S34" s="29"/>
      <c r="T34" s="23">
        <f t="shared" si="1"/>
        <v>3.5</v>
      </c>
      <c r="U34" s="4"/>
      <c r="V34" s="9"/>
      <c r="X34" s="9"/>
      <c r="Y34" s="2"/>
      <c r="Z34" s="2"/>
      <c r="AA34" s="2"/>
      <c r="AB34" s="19">
        <v>2013</v>
      </c>
      <c r="AC34" s="15">
        <v>3</v>
      </c>
      <c r="AD34" s="2"/>
      <c r="AE34" s="6"/>
      <c r="AF34" s="7"/>
      <c r="AG34" s="7" t="s">
        <v>29</v>
      </c>
      <c r="AH34" s="7"/>
      <c r="AI34" s="7"/>
      <c r="AJ34" s="15">
        <v>3.27</v>
      </c>
      <c r="AK34" s="2"/>
      <c r="AL34" s="6"/>
      <c r="AM34" s="7"/>
      <c r="AN34" s="7" t="s">
        <v>29</v>
      </c>
      <c r="AO34" s="7"/>
      <c r="AP34" s="7"/>
      <c r="AQ34" s="15">
        <v>2.27</v>
      </c>
      <c r="AR34" s="4"/>
      <c r="AS34" s="7"/>
      <c r="AT34" s="7"/>
      <c r="AU34" s="11"/>
      <c r="AV34" s="11"/>
      <c r="AW34" s="11"/>
      <c r="AX34" s="11"/>
      <c r="AY34" s="7"/>
      <c r="AZ34" s="7"/>
      <c r="BA34" s="11"/>
      <c r="BB34" s="12"/>
      <c r="BC34" s="7"/>
      <c r="BD34" s="7"/>
      <c r="BE34" s="69"/>
      <c r="BF34" s="69"/>
    </row>
    <row r="35" spans="2:58">
      <c r="B35" s="44" t="s">
        <v>39</v>
      </c>
      <c r="C35" s="45"/>
      <c r="D35" s="45"/>
      <c r="E35" s="46"/>
      <c r="F35" s="44">
        <v>2002</v>
      </c>
      <c r="G35" s="46"/>
      <c r="H35" s="44" t="s">
        <v>62</v>
      </c>
      <c r="I35" s="46"/>
      <c r="J35" s="44" t="s">
        <v>67</v>
      </c>
      <c r="K35" s="46"/>
      <c r="L35" s="13" t="s">
        <v>88</v>
      </c>
      <c r="M35" s="1" t="s">
        <v>66</v>
      </c>
      <c r="N35" s="44">
        <v>139</v>
      </c>
      <c r="O35" s="46"/>
      <c r="P35" s="44">
        <v>404</v>
      </c>
      <c r="Q35" s="46"/>
      <c r="R35" s="28">
        <f t="shared" si="0"/>
        <v>2.906474820143885</v>
      </c>
      <c r="S35" s="29"/>
      <c r="T35" s="23">
        <f t="shared" si="1"/>
        <v>1.9064748201438848</v>
      </c>
      <c r="U35" s="4"/>
      <c r="V35" s="9"/>
      <c r="X35" s="9"/>
      <c r="Y35" s="2"/>
      <c r="Z35" s="2"/>
      <c r="AA35" s="2"/>
      <c r="AB35" s="19">
        <v>2012</v>
      </c>
      <c r="AC35" s="15">
        <v>0</v>
      </c>
      <c r="AD35" s="2"/>
      <c r="AE35" s="6"/>
      <c r="AF35" s="7"/>
      <c r="AG35" s="11" t="s">
        <v>8</v>
      </c>
      <c r="AH35" s="11"/>
      <c r="AI35" s="11"/>
      <c r="AJ35" s="15">
        <v>3.16</v>
      </c>
      <c r="AK35" s="2"/>
      <c r="AL35" s="6"/>
      <c r="AM35" s="7"/>
      <c r="AN35" s="11" t="s">
        <v>8</v>
      </c>
      <c r="AO35" s="11"/>
      <c r="AP35" s="11"/>
      <c r="AQ35" s="15">
        <v>2.16</v>
      </c>
      <c r="AR35" s="4"/>
      <c r="AS35" s="7"/>
      <c r="AT35" s="7"/>
      <c r="AU35" s="7"/>
      <c r="AV35" s="7"/>
      <c r="AW35" s="7"/>
      <c r="AX35" s="7"/>
      <c r="AY35" s="7"/>
      <c r="AZ35" s="7"/>
      <c r="BA35" s="11"/>
      <c r="BB35" s="7"/>
      <c r="BC35" s="7"/>
      <c r="BD35" s="7"/>
      <c r="BE35" s="69"/>
      <c r="BF35" s="69"/>
    </row>
    <row r="36" spans="2:58">
      <c r="B36" s="44" t="s">
        <v>40</v>
      </c>
      <c r="C36" s="45"/>
      <c r="D36" s="45"/>
      <c r="E36" s="46"/>
      <c r="F36" s="44">
        <v>1993</v>
      </c>
      <c r="G36" s="46"/>
      <c r="H36" s="44" t="s">
        <v>58</v>
      </c>
      <c r="I36" s="46"/>
      <c r="J36" s="44" t="s">
        <v>72</v>
      </c>
      <c r="K36" s="46"/>
      <c r="L36" s="13" t="s">
        <v>79</v>
      </c>
      <c r="M36" s="1" t="s">
        <v>66</v>
      </c>
      <c r="N36" s="44">
        <v>63</v>
      </c>
      <c r="O36" s="46"/>
      <c r="P36" s="44">
        <v>357</v>
      </c>
      <c r="Q36" s="46"/>
      <c r="R36" s="28">
        <f t="shared" si="0"/>
        <v>5.666666666666667</v>
      </c>
      <c r="S36" s="29"/>
      <c r="T36" s="23">
        <f t="shared" si="1"/>
        <v>4.666666666666667</v>
      </c>
      <c r="U36" s="4"/>
      <c r="V36" s="9"/>
      <c r="X36" s="9"/>
      <c r="Y36" s="68" t="s">
        <v>110</v>
      </c>
      <c r="Z36" s="63"/>
      <c r="AA36" s="2"/>
      <c r="AB36" s="19">
        <v>2011</v>
      </c>
      <c r="AC36" s="15">
        <v>1</v>
      </c>
      <c r="AD36" s="2"/>
      <c r="AE36" s="3"/>
      <c r="AF36" s="70"/>
      <c r="AG36" s="10" t="s">
        <v>19</v>
      </c>
      <c r="AH36" s="10"/>
      <c r="AI36" s="10"/>
      <c r="AJ36" s="17">
        <v>3.15</v>
      </c>
      <c r="AK36" s="2"/>
      <c r="AL36" s="3"/>
      <c r="AM36" s="70"/>
      <c r="AN36" s="10" t="s">
        <v>19</v>
      </c>
      <c r="AO36" s="10"/>
      <c r="AP36" s="10"/>
      <c r="AQ36" s="17">
        <v>2.15</v>
      </c>
      <c r="AR36" s="4"/>
      <c r="AS36" s="7"/>
      <c r="AT36" s="7"/>
      <c r="AU36" s="11"/>
      <c r="AV36" s="11"/>
      <c r="AW36" s="11"/>
      <c r="AX36" s="11"/>
      <c r="AY36" s="7"/>
      <c r="AZ36" s="7"/>
      <c r="BA36" s="11"/>
      <c r="BB36" s="11"/>
      <c r="BC36" s="7"/>
      <c r="BD36" s="7"/>
      <c r="BE36" s="69"/>
      <c r="BF36" s="69"/>
    </row>
    <row r="37" spans="2:58">
      <c r="B37" s="44" t="s">
        <v>41</v>
      </c>
      <c r="C37" s="45"/>
      <c r="D37" s="45"/>
      <c r="E37" s="46"/>
      <c r="F37" s="44">
        <v>2009</v>
      </c>
      <c r="G37" s="46"/>
      <c r="H37" s="44" t="s">
        <v>63</v>
      </c>
      <c r="I37" s="46"/>
      <c r="J37" s="44" t="s">
        <v>72</v>
      </c>
      <c r="K37" s="46"/>
      <c r="L37" s="13" t="s">
        <v>88</v>
      </c>
      <c r="M37" s="1" t="s">
        <v>66</v>
      </c>
      <c r="N37" s="44">
        <v>200</v>
      </c>
      <c r="O37" s="46"/>
      <c r="P37" s="44">
        <v>402</v>
      </c>
      <c r="Q37" s="46"/>
      <c r="R37" s="28">
        <f t="shared" si="0"/>
        <v>2.0099999999999998</v>
      </c>
      <c r="S37" s="29"/>
      <c r="T37" s="23">
        <f t="shared" si="1"/>
        <v>1.01</v>
      </c>
      <c r="U37" s="4"/>
      <c r="V37" s="9"/>
      <c r="X37" s="9"/>
      <c r="Y37" s="19" t="s">
        <v>106</v>
      </c>
      <c r="Z37" s="15">
        <v>12</v>
      </c>
      <c r="AA37" s="2"/>
      <c r="AB37" s="19">
        <v>2010</v>
      </c>
      <c r="AC37" s="15">
        <v>1</v>
      </c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4"/>
      <c r="AS37" s="7"/>
      <c r="AT37" s="7"/>
      <c r="AU37" s="11"/>
      <c r="AV37" s="11"/>
      <c r="AW37" s="11"/>
      <c r="AX37" s="11"/>
      <c r="AY37" s="7"/>
      <c r="AZ37" s="7"/>
      <c r="BA37" s="11"/>
      <c r="BB37" s="12"/>
      <c r="BC37" s="7"/>
      <c r="BD37" s="7"/>
      <c r="BE37" s="69"/>
      <c r="BF37" s="69"/>
    </row>
    <row r="38" spans="2:58">
      <c r="B38" s="44" t="s">
        <v>42</v>
      </c>
      <c r="C38" s="45"/>
      <c r="D38" s="45"/>
      <c r="E38" s="46"/>
      <c r="F38" s="44">
        <v>2013</v>
      </c>
      <c r="G38" s="46"/>
      <c r="H38" s="44" t="s">
        <v>55</v>
      </c>
      <c r="I38" s="46"/>
      <c r="J38" s="44" t="s">
        <v>69</v>
      </c>
      <c r="K38" s="46"/>
      <c r="L38" s="13" t="s">
        <v>79</v>
      </c>
      <c r="M38" s="1" t="s">
        <v>66</v>
      </c>
      <c r="N38" s="44">
        <v>150</v>
      </c>
      <c r="O38" s="46"/>
      <c r="P38" s="44">
        <v>401</v>
      </c>
      <c r="Q38" s="46"/>
      <c r="R38" s="28">
        <f t="shared" si="0"/>
        <v>2.6733333333333333</v>
      </c>
      <c r="S38" s="29"/>
      <c r="T38" s="23">
        <f t="shared" si="1"/>
        <v>1.6733333333333333</v>
      </c>
      <c r="U38" s="4"/>
      <c r="V38" s="9"/>
      <c r="X38" s="9"/>
      <c r="Y38" s="19" t="s">
        <v>107</v>
      </c>
      <c r="Z38" s="15">
        <v>26</v>
      </c>
      <c r="AA38" s="2"/>
      <c r="AB38" s="19">
        <v>2009</v>
      </c>
      <c r="AC38" s="15">
        <v>2</v>
      </c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4"/>
      <c r="AS38" s="7"/>
      <c r="AT38" s="7"/>
      <c r="AU38" s="11"/>
      <c r="AV38" s="11"/>
      <c r="AW38" s="11"/>
      <c r="AX38" s="11"/>
      <c r="AY38" s="7"/>
      <c r="AZ38" s="7"/>
      <c r="BA38" s="11"/>
      <c r="BB38" s="7"/>
      <c r="BC38" s="7"/>
      <c r="BD38" s="7"/>
      <c r="BE38" s="69"/>
      <c r="BF38" s="69"/>
    </row>
    <row r="39" spans="2:58">
      <c r="B39" s="44" t="s">
        <v>43</v>
      </c>
      <c r="C39" s="45"/>
      <c r="D39" s="45"/>
      <c r="E39" s="46"/>
      <c r="F39" s="44">
        <v>2017</v>
      </c>
      <c r="G39" s="46"/>
      <c r="H39" s="44" t="s">
        <v>55</v>
      </c>
      <c r="I39" s="46"/>
      <c r="J39" s="44" t="s">
        <v>67</v>
      </c>
      <c r="K39" s="46"/>
      <c r="L39" s="13" t="s">
        <v>88</v>
      </c>
      <c r="M39" s="1" t="s">
        <v>66</v>
      </c>
      <c r="N39" s="44">
        <v>200</v>
      </c>
      <c r="O39" s="46"/>
      <c r="P39" s="44">
        <v>390</v>
      </c>
      <c r="Q39" s="46"/>
      <c r="R39" s="28">
        <f t="shared" si="0"/>
        <v>1.95</v>
      </c>
      <c r="S39" s="29"/>
      <c r="T39" s="23">
        <f t="shared" si="1"/>
        <v>0.95</v>
      </c>
      <c r="U39" s="4"/>
      <c r="V39" s="9"/>
      <c r="X39" s="9"/>
      <c r="Y39" s="19" t="s">
        <v>108</v>
      </c>
      <c r="Z39" s="15">
        <v>9</v>
      </c>
      <c r="AA39" s="2"/>
      <c r="AB39" s="19">
        <v>2008</v>
      </c>
      <c r="AC39" s="15">
        <v>1</v>
      </c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4"/>
      <c r="AS39" s="7"/>
      <c r="AT39" s="7"/>
      <c r="AU39" s="7"/>
      <c r="AV39" s="7"/>
      <c r="AW39" s="7"/>
      <c r="AX39" s="7"/>
      <c r="AY39" s="7"/>
      <c r="AZ39" s="7"/>
      <c r="BA39" s="11"/>
      <c r="BB39" s="12"/>
      <c r="BC39" s="7"/>
      <c r="BD39" s="7"/>
      <c r="BE39" s="69"/>
      <c r="BF39" s="69"/>
    </row>
    <row r="40" spans="2:58">
      <c r="B40" s="44" t="s">
        <v>44</v>
      </c>
      <c r="C40" s="45"/>
      <c r="D40" s="45"/>
      <c r="E40" s="46"/>
      <c r="F40" s="44">
        <v>2019</v>
      </c>
      <c r="G40" s="46"/>
      <c r="H40" s="44" t="s">
        <v>62</v>
      </c>
      <c r="I40" s="46"/>
      <c r="J40" s="44" t="s">
        <v>67</v>
      </c>
      <c r="K40" s="46"/>
      <c r="L40" s="13" t="s">
        <v>88</v>
      </c>
      <c r="M40" s="1" t="s">
        <v>66</v>
      </c>
      <c r="N40" s="44">
        <v>160</v>
      </c>
      <c r="O40" s="46"/>
      <c r="P40" s="44">
        <v>387</v>
      </c>
      <c r="Q40" s="46"/>
      <c r="R40" s="28">
        <f t="shared" si="0"/>
        <v>2.4187500000000002</v>
      </c>
      <c r="S40" s="29"/>
      <c r="T40" s="23">
        <f t="shared" si="1"/>
        <v>1.41875</v>
      </c>
      <c r="U40" s="4"/>
      <c r="V40" s="9"/>
      <c r="X40" s="9"/>
      <c r="Y40" s="16" t="s">
        <v>109</v>
      </c>
      <c r="Z40" s="17">
        <v>3</v>
      </c>
      <c r="AA40" s="2"/>
      <c r="AB40" s="19">
        <v>2006</v>
      </c>
      <c r="AC40" s="15">
        <v>1</v>
      </c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4"/>
      <c r="AS40" s="7"/>
      <c r="AT40" s="7"/>
      <c r="AU40" s="7"/>
      <c r="AV40" s="7"/>
      <c r="AW40" s="7"/>
      <c r="AX40" s="7"/>
      <c r="AY40" s="7"/>
      <c r="AZ40" s="7"/>
      <c r="BA40" s="11"/>
      <c r="BB40" s="7"/>
      <c r="BC40" s="7"/>
      <c r="BD40" s="7"/>
      <c r="BE40" s="69"/>
      <c r="BF40" s="69"/>
    </row>
    <row r="41" spans="2:58">
      <c r="B41" s="44" t="s">
        <v>45</v>
      </c>
      <c r="C41" s="45"/>
      <c r="D41" s="45"/>
      <c r="E41" s="46"/>
      <c r="F41" s="44">
        <v>2011</v>
      </c>
      <c r="G41" s="46"/>
      <c r="H41" s="44" t="s">
        <v>59</v>
      </c>
      <c r="I41" s="46"/>
      <c r="J41" s="44" t="s">
        <v>71</v>
      </c>
      <c r="K41" s="46"/>
      <c r="L41" s="13" t="s">
        <v>88</v>
      </c>
      <c r="M41" s="1" t="s">
        <v>66</v>
      </c>
      <c r="N41" s="44">
        <v>250</v>
      </c>
      <c r="O41" s="46"/>
      <c r="P41" s="44">
        <v>381</v>
      </c>
      <c r="Q41" s="46"/>
      <c r="R41" s="28">
        <f t="shared" si="0"/>
        <v>1.524</v>
      </c>
      <c r="S41" s="29"/>
      <c r="T41" s="23">
        <f t="shared" si="1"/>
        <v>0.52400000000000002</v>
      </c>
      <c r="U41" s="4"/>
      <c r="V41" s="9"/>
      <c r="X41" s="9"/>
      <c r="Y41" s="2"/>
      <c r="Z41" s="2"/>
      <c r="AA41" s="2"/>
      <c r="AB41" s="19">
        <v>2005</v>
      </c>
      <c r="AC41" s="15">
        <v>1</v>
      </c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4"/>
      <c r="AS41" s="7"/>
      <c r="AT41" s="7"/>
      <c r="AU41" s="7"/>
      <c r="AV41" s="7"/>
      <c r="AW41" s="7"/>
      <c r="AX41" s="7"/>
      <c r="AY41" s="7"/>
      <c r="AZ41" s="7"/>
      <c r="BA41" s="11"/>
      <c r="BB41" s="7"/>
      <c r="BC41" s="7"/>
      <c r="BD41" s="7"/>
      <c r="BE41" s="69"/>
      <c r="BF41" s="69"/>
    </row>
    <row r="42" spans="2:58">
      <c r="B42" s="44" t="s">
        <v>46</v>
      </c>
      <c r="C42" s="45"/>
      <c r="D42" s="45"/>
      <c r="E42" s="46"/>
      <c r="F42" s="44">
        <v>2003</v>
      </c>
      <c r="G42" s="46"/>
      <c r="H42" s="44" t="s">
        <v>55</v>
      </c>
      <c r="I42" s="46"/>
      <c r="J42" s="44" t="s">
        <v>69</v>
      </c>
      <c r="K42" s="46"/>
      <c r="L42" s="13" t="s">
        <v>79</v>
      </c>
      <c r="M42" s="7" t="s">
        <v>76</v>
      </c>
      <c r="N42" s="44">
        <v>94</v>
      </c>
      <c r="O42" s="46"/>
      <c r="P42" s="44">
        <v>340</v>
      </c>
      <c r="Q42" s="46"/>
      <c r="R42" s="28">
        <f t="shared" si="0"/>
        <v>3.6170212765957448</v>
      </c>
      <c r="S42" s="29"/>
      <c r="T42" s="23">
        <f t="shared" si="1"/>
        <v>2.6170212765957448</v>
      </c>
      <c r="U42" s="4"/>
      <c r="V42" s="9"/>
      <c r="X42" s="9"/>
      <c r="Y42" s="2"/>
      <c r="Z42" s="2"/>
      <c r="AA42" s="2"/>
      <c r="AB42" s="19">
        <v>2004</v>
      </c>
      <c r="AC42" s="15">
        <v>3</v>
      </c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4"/>
      <c r="AS42" s="7"/>
      <c r="AT42" s="2"/>
      <c r="AU42" s="11"/>
      <c r="AV42" s="11"/>
      <c r="AW42" s="11"/>
      <c r="AX42" s="7"/>
      <c r="AY42" s="7"/>
      <c r="AZ42" s="11"/>
      <c r="BA42" s="11"/>
      <c r="BB42" s="7"/>
      <c r="BC42" s="7"/>
      <c r="BD42" s="7"/>
      <c r="BE42" s="69"/>
      <c r="BF42" s="69"/>
    </row>
    <row r="43" spans="2:58">
      <c r="B43" s="44" t="s">
        <v>85</v>
      </c>
      <c r="C43" s="45"/>
      <c r="D43" s="45"/>
      <c r="E43" s="46"/>
      <c r="F43" s="44">
        <v>2005</v>
      </c>
      <c r="G43" s="46"/>
      <c r="H43" s="44" t="s">
        <v>56</v>
      </c>
      <c r="I43" s="46"/>
      <c r="J43" s="44" t="s">
        <v>72</v>
      </c>
      <c r="K43" s="46"/>
      <c r="L43" s="13" t="s">
        <v>88</v>
      </c>
      <c r="M43" s="1" t="s">
        <v>66</v>
      </c>
      <c r="N43" s="44">
        <v>113</v>
      </c>
      <c r="O43" s="46"/>
      <c r="P43" s="44">
        <v>380</v>
      </c>
      <c r="Q43" s="46"/>
      <c r="R43" s="28">
        <f t="shared" si="0"/>
        <v>3.3628318584070795</v>
      </c>
      <c r="S43" s="29"/>
      <c r="T43" s="23">
        <f t="shared" si="1"/>
        <v>2.3628318584070795</v>
      </c>
      <c r="U43" s="4"/>
      <c r="V43" s="9"/>
      <c r="X43" s="9"/>
      <c r="Y43" s="2"/>
      <c r="Z43" s="2"/>
      <c r="AA43" s="2"/>
      <c r="AB43" s="19">
        <v>2003</v>
      </c>
      <c r="AC43" s="15">
        <v>2</v>
      </c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4"/>
      <c r="AS43" s="7"/>
      <c r="AT43" s="7"/>
      <c r="AU43" s="11"/>
      <c r="AV43" s="11"/>
      <c r="AW43" s="11"/>
      <c r="AX43" s="11"/>
      <c r="AY43" s="7"/>
      <c r="AZ43" s="7"/>
      <c r="BA43" s="11"/>
      <c r="BB43" s="7"/>
      <c r="BC43" s="7"/>
      <c r="BD43" s="7"/>
      <c r="BE43" s="69"/>
      <c r="BF43" s="69"/>
    </row>
    <row r="44" spans="2:58">
      <c r="B44" s="44" t="s">
        <v>47</v>
      </c>
      <c r="C44" s="45"/>
      <c r="D44" s="45"/>
      <c r="E44" s="46"/>
      <c r="F44" s="44">
        <v>2003</v>
      </c>
      <c r="G44" s="46"/>
      <c r="H44" s="44" t="s">
        <v>64</v>
      </c>
      <c r="I44" s="46"/>
      <c r="J44" s="44" t="s">
        <v>71</v>
      </c>
      <c r="K44" s="46"/>
      <c r="L44" s="13" t="s">
        <v>88</v>
      </c>
      <c r="M44" s="1" t="s">
        <v>66</v>
      </c>
      <c r="N44" s="44">
        <v>94</v>
      </c>
      <c r="O44" s="46"/>
      <c r="P44" s="44">
        <v>377</v>
      </c>
      <c r="Q44" s="46"/>
      <c r="R44" s="28">
        <f t="shared" si="0"/>
        <v>4.0106382978723403</v>
      </c>
      <c r="S44" s="29"/>
      <c r="T44" s="23">
        <f t="shared" si="1"/>
        <v>3.0106382978723403</v>
      </c>
      <c r="U44" s="4"/>
      <c r="V44" s="9"/>
      <c r="X44" s="9"/>
      <c r="Y44" s="2"/>
      <c r="Z44" s="2"/>
      <c r="AA44" s="2"/>
      <c r="AB44" s="19">
        <v>2002</v>
      </c>
      <c r="AC44" s="15">
        <v>1</v>
      </c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4"/>
      <c r="AS44" s="7"/>
      <c r="AT44" s="7"/>
      <c r="AU44" s="7"/>
      <c r="AV44" s="7"/>
      <c r="AW44" s="7"/>
      <c r="AX44" s="7"/>
      <c r="AY44" s="7"/>
      <c r="AZ44" s="7"/>
      <c r="BA44" s="11"/>
      <c r="BB44" s="7"/>
      <c r="BC44" s="7"/>
      <c r="BD44" s="7"/>
      <c r="BE44" s="69"/>
      <c r="BF44" s="69"/>
    </row>
    <row r="45" spans="2:58">
      <c r="B45" s="44" t="s">
        <v>48</v>
      </c>
      <c r="C45" s="45"/>
      <c r="D45" s="45"/>
      <c r="E45" s="46"/>
      <c r="F45" s="44">
        <v>2004</v>
      </c>
      <c r="G45" s="46"/>
      <c r="H45" s="44" t="s">
        <v>62</v>
      </c>
      <c r="I45" s="46"/>
      <c r="J45" s="44" t="s">
        <v>67</v>
      </c>
      <c r="K45" s="46"/>
      <c r="L45" s="13" t="s">
        <v>88</v>
      </c>
      <c r="M45" s="1" t="s">
        <v>66</v>
      </c>
      <c r="N45" s="44">
        <v>200</v>
      </c>
      <c r="O45" s="46"/>
      <c r="P45" s="44">
        <v>374</v>
      </c>
      <c r="Q45" s="46"/>
      <c r="R45" s="28">
        <f t="shared" si="0"/>
        <v>1.87</v>
      </c>
      <c r="S45" s="29"/>
      <c r="T45" s="23">
        <f t="shared" si="1"/>
        <v>0.87</v>
      </c>
      <c r="U45" s="4"/>
      <c r="V45" s="9"/>
      <c r="X45" s="9"/>
      <c r="Y45" s="2"/>
      <c r="Z45" s="2"/>
      <c r="AA45" s="2"/>
      <c r="AB45" s="19">
        <v>2001</v>
      </c>
      <c r="AC45" s="15">
        <v>0</v>
      </c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4"/>
      <c r="AS45" s="7"/>
      <c r="AT45" s="7"/>
      <c r="AU45" s="11"/>
      <c r="AV45" s="11"/>
      <c r="AW45" s="11"/>
      <c r="AX45" s="11"/>
      <c r="AY45" s="7"/>
      <c r="AZ45" s="7"/>
      <c r="BA45" s="11"/>
      <c r="BB45" s="7"/>
      <c r="BC45" s="7"/>
      <c r="BD45" s="7"/>
      <c r="BE45" s="69"/>
      <c r="BF45" s="69"/>
    </row>
    <row r="46" spans="2:58">
      <c r="B46" s="44" t="s">
        <v>49</v>
      </c>
      <c r="C46" s="45"/>
      <c r="D46" s="45"/>
      <c r="E46" s="46"/>
      <c r="F46" s="44">
        <v>2004</v>
      </c>
      <c r="G46" s="46"/>
      <c r="H46" s="44" t="s">
        <v>65</v>
      </c>
      <c r="I46" s="46"/>
      <c r="J46" s="44" t="s">
        <v>83</v>
      </c>
      <c r="K46" s="46"/>
      <c r="L46" s="13" t="s">
        <v>79</v>
      </c>
      <c r="M46" s="7" t="s">
        <v>68</v>
      </c>
      <c r="N46" s="44">
        <v>30</v>
      </c>
      <c r="O46" s="46"/>
      <c r="P46" s="44">
        <v>370</v>
      </c>
      <c r="Q46" s="46"/>
      <c r="R46" s="28">
        <f t="shared" si="0"/>
        <v>12.333333333333334</v>
      </c>
      <c r="S46" s="29"/>
      <c r="T46" s="23">
        <f t="shared" si="1"/>
        <v>11.333333333333334</v>
      </c>
      <c r="U46" s="4"/>
      <c r="V46" s="9"/>
      <c r="X46" s="9"/>
      <c r="Y46" s="2"/>
      <c r="Z46" s="2"/>
      <c r="AA46" s="2"/>
      <c r="AB46" s="19">
        <v>2000</v>
      </c>
      <c r="AC46" s="15">
        <v>0</v>
      </c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4"/>
      <c r="AS46" s="7"/>
      <c r="AT46" s="7"/>
      <c r="AU46" s="7"/>
      <c r="AV46" s="7"/>
      <c r="AW46" s="7"/>
      <c r="AX46" s="7"/>
      <c r="AY46" s="7"/>
      <c r="AZ46" s="7"/>
      <c r="BA46" s="11"/>
      <c r="BB46" s="7"/>
      <c r="BC46" s="7"/>
      <c r="BD46" s="7"/>
      <c r="BE46" s="69"/>
      <c r="BF46" s="69"/>
    </row>
    <row r="47" spans="2:58">
      <c r="B47" s="44" t="s">
        <v>50</v>
      </c>
      <c r="C47" s="45"/>
      <c r="D47" s="45"/>
      <c r="E47" s="46"/>
      <c r="F47" s="44">
        <v>2016</v>
      </c>
      <c r="G47" s="46"/>
      <c r="H47" s="44" t="s">
        <v>58</v>
      </c>
      <c r="I47" s="46"/>
      <c r="J47" s="44" t="s">
        <v>69</v>
      </c>
      <c r="K47" s="46"/>
      <c r="L47" s="13" t="s">
        <v>79</v>
      </c>
      <c r="M47" s="12" t="s">
        <v>70</v>
      </c>
      <c r="N47" s="44">
        <v>75</v>
      </c>
      <c r="O47" s="46"/>
      <c r="P47" s="44">
        <v>368</v>
      </c>
      <c r="Q47" s="46"/>
      <c r="R47" s="28">
        <f t="shared" si="0"/>
        <v>4.9066666666666663</v>
      </c>
      <c r="S47" s="29"/>
      <c r="T47" s="23">
        <f t="shared" si="1"/>
        <v>3.9066666666666667</v>
      </c>
      <c r="U47" s="4"/>
      <c r="V47" s="9"/>
      <c r="X47" s="9"/>
      <c r="Y47" s="2"/>
      <c r="Z47" s="2"/>
      <c r="AA47" s="2"/>
      <c r="AB47" s="16" t="s">
        <v>104</v>
      </c>
      <c r="AC47" s="17">
        <v>6</v>
      </c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4"/>
      <c r="AS47" s="7"/>
      <c r="AT47" s="7"/>
      <c r="AU47" s="7"/>
      <c r="AV47" s="7"/>
      <c r="AW47" s="7"/>
      <c r="AX47" s="7"/>
      <c r="AY47" s="7"/>
      <c r="AZ47" s="7"/>
      <c r="BA47" s="11"/>
      <c r="BB47" s="7"/>
      <c r="BC47" s="7"/>
      <c r="BD47" s="7"/>
      <c r="BE47" s="69"/>
      <c r="BF47" s="69"/>
    </row>
    <row r="48" spans="2:58">
      <c r="B48" s="44" t="s">
        <v>51</v>
      </c>
      <c r="C48" s="45"/>
      <c r="D48" s="45"/>
      <c r="E48" s="46"/>
      <c r="F48" s="44">
        <v>2013</v>
      </c>
      <c r="G48" s="46"/>
      <c r="H48" s="44" t="s">
        <v>58</v>
      </c>
      <c r="I48" s="46"/>
      <c r="J48" s="44" t="s">
        <v>69</v>
      </c>
      <c r="K48" s="46"/>
      <c r="L48" s="13" t="s">
        <v>79</v>
      </c>
      <c r="M48" s="12" t="s">
        <v>70</v>
      </c>
      <c r="N48" s="44">
        <v>76</v>
      </c>
      <c r="O48" s="46"/>
      <c r="P48" s="44">
        <v>368</v>
      </c>
      <c r="Q48" s="46"/>
      <c r="R48" s="28">
        <f t="shared" si="0"/>
        <v>4.8421052631578947</v>
      </c>
      <c r="S48" s="29"/>
      <c r="T48" s="23">
        <f t="shared" si="1"/>
        <v>3.8421052631578947</v>
      </c>
      <c r="U48" s="4"/>
      <c r="V48" s="9"/>
      <c r="X48" s="9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4"/>
      <c r="AS48" s="7"/>
      <c r="AT48" s="7"/>
      <c r="AU48" s="7"/>
      <c r="AV48" s="7"/>
      <c r="AW48" s="7"/>
      <c r="AX48" s="7"/>
      <c r="AY48" s="7"/>
      <c r="AZ48" s="7"/>
      <c r="BA48" s="11"/>
      <c r="BB48" s="7"/>
      <c r="BC48" s="7"/>
      <c r="BD48" s="7"/>
      <c r="BE48" s="69"/>
      <c r="BF48" s="69"/>
    </row>
    <row r="49" spans="2:58">
      <c r="B49" s="44" t="s">
        <v>52</v>
      </c>
      <c r="C49" s="45"/>
      <c r="D49" s="45"/>
      <c r="E49" s="46"/>
      <c r="F49" s="44">
        <v>2016</v>
      </c>
      <c r="G49" s="46"/>
      <c r="H49" s="44" t="s">
        <v>55</v>
      </c>
      <c r="I49" s="46"/>
      <c r="J49" s="44" t="s">
        <v>67</v>
      </c>
      <c r="K49" s="46"/>
      <c r="L49" s="13" t="s">
        <v>79</v>
      </c>
      <c r="M49" s="12" t="s">
        <v>70</v>
      </c>
      <c r="N49" s="44">
        <v>175</v>
      </c>
      <c r="O49" s="46"/>
      <c r="P49" s="44">
        <v>364</v>
      </c>
      <c r="Q49" s="46"/>
      <c r="R49" s="28">
        <f t="shared" si="0"/>
        <v>2.08</v>
      </c>
      <c r="S49" s="29"/>
      <c r="T49" s="23">
        <f t="shared" si="1"/>
        <v>1.08</v>
      </c>
      <c r="U49" s="4"/>
      <c r="V49" s="9"/>
      <c r="X49" s="9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4"/>
      <c r="AS49" s="7"/>
      <c r="AT49" s="7"/>
      <c r="AU49" s="11"/>
      <c r="AV49" s="11"/>
      <c r="AW49" s="11"/>
      <c r="AX49" s="11"/>
      <c r="AY49" s="7"/>
      <c r="AZ49" s="7"/>
      <c r="BA49" s="11"/>
      <c r="BB49" s="7"/>
      <c r="BC49" s="7"/>
      <c r="BD49" s="7"/>
      <c r="BE49" s="69"/>
      <c r="BF49" s="69"/>
    </row>
    <row r="50" spans="2:58">
      <c r="B50" s="38" t="s">
        <v>53</v>
      </c>
      <c r="C50" s="39"/>
      <c r="D50" s="39"/>
      <c r="E50" s="40"/>
      <c r="F50" s="44">
        <v>2016</v>
      </c>
      <c r="G50" s="46"/>
      <c r="H50" s="44" t="s">
        <v>56</v>
      </c>
      <c r="I50" s="46"/>
      <c r="J50" s="44" t="s">
        <v>69</v>
      </c>
      <c r="K50" s="46"/>
      <c r="L50" s="13" t="s">
        <v>88</v>
      </c>
      <c r="M50" s="12" t="s">
        <v>68</v>
      </c>
      <c r="N50" s="44">
        <v>58</v>
      </c>
      <c r="O50" s="46"/>
      <c r="P50" s="44">
        <v>363</v>
      </c>
      <c r="Q50" s="46"/>
      <c r="R50" s="28">
        <f t="shared" si="0"/>
        <v>6.2586206896551726</v>
      </c>
      <c r="S50" s="29"/>
      <c r="T50" s="23">
        <f t="shared" si="1"/>
        <v>5.2586206896551726</v>
      </c>
      <c r="U50" s="4"/>
      <c r="V50" s="9"/>
      <c r="X50" s="62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5"/>
      <c r="AS50" s="7"/>
      <c r="AT50" s="7"/>
      <c r="AU50" s="11"/>
      <c r="AV50" s="11"/>
      <c r="AW50" s="11"/>
      <c r="AX50" s="11"/>
      <c r="AY50" s="7"/>
      <c r="AZ50" s="7"/>
      <c r="BA50" s="11"/>
      <c r="BB50" s="7"/>
      <c r="BC50" s="7"/>
      <c r="BD50" s="7"/>
      <c r="BE50" s="69"/>
      <c r="BF50" s="69"/>
    </row>
    <row r="51" spans="2:58">
      <c r="B51" s="50" t="s">
        <v>54</v>
      </c>
      <c r="C51" s="55"/>
      <c r="D51" s="55"/>
      <c r="E51" s="51"/>
      <c r="F51" s="47">
        <v>2015</v>
      </c>
      <c r="G51" s="48"/>
      <c r="H51" s="47" t="s">
        <v>55</v>
      </c>
      <c r="I51" s="48"/>
      <c r="J51" s="50" t="s">
        <v>69</v>
      </c>
      <c r="K51" s="51"/>
      <c r="L51" s="22" t="s">
        <v>79</v>
      </c>
      <c r="M51" s="18" t="s">
        <v>70</v>
      </c>
      <c r="N51" s="47">
        <v>175</v>
      </c>
      <c r="O51" s="48"/>
      <c r="P51" s="47">
        <v>356</v>
      </c>
      <c r="Q51" s="48"/>
      <c r="R51" s="30">
        <f t="shared" si="0"/>
        <v>2.0342857142857143</v>
      </c>
      <c r="S51" s="31"/>
      <c r="T51" s="25">
        <f t="shared" si="1"/>
        <v>1.0342857142857143</v>
      </c>
      <c r="U51" s="5"/>
      <c r="V51" s="9"/>
      <c r="AS51" s="7"/>
      <c r="AT51" s="7"/>
      <c r="AU51" s="7"/>
      <c r="AV51" s="7"/>
      <c r="AW51" s="7"/>
      <c r="AX51" s="7"/>
      <c r="AY51" s="7"/>
      <c r="AZ51" s="7"/>
      <c r="BA51" s="11"/>
      <c r="BB51" s="7"/>
      <c r="BC51" s="7"/>
      <c r="BD51" s="7"/>
      <c r="BE51" s="69"/>
      <c r="BF51" s="69"/>
    </row>
    <row r="52" spans="2:58">
      <c r="AS52" s="7"/>
      <c r="AT52" s="7"/>
      <c r="AU52" s="7"/>
      <c r="AV52" s="7"/>
      <c r="AW52" s="7"/>
      <c r="AX52" s="7"/>
      <c r="AY52" s="7"/>
      <c r="AZ52" s="7"/>
      <c r="BA52" s="11"/>
      <c r="BB52" s="7"/>
      <c r="BC52" s="7"/>
      <c r="BD52" s="7"/>
      <c r="BE52" s="69"/>
      <c r="BF52" s="69"/>
    </row>
    <row r="55" spans="2:58">
      <c r="AH55" s="11"/>
      <c r="AI55" s="11"/>
    </row>
    <row r="56" spans="2:58">
      <c r="AH56" s="11"/>
      <c r="AI56" s="11"/>
    </row>
    <row r="1048576" spans="8:9">
      <c r="H1048576" s="54"/>
      <c r="I1048576" s="54"/>
    </row>
  </sheetData>
  <sortState xmlns:xlrd2="http://schemas.microsoft.com/office/spreadsheetml/2017/richdata2" ref="AS3:BF52">
    <sortCondition descending="1" ref="BF3:BF52"/>
  </sortState>
  <mergeCells count="379">
    <mergeCell ref="AE16:AJ16"/>
    <mergeCell ref="AL16:AQ16"/>
    <mergeCell ref="X14:AR14"/>
    <mergeCell ref="Y36:Z36"/>
    <mergeCell ref="AB27:AC27"/>
    <mergeCell ref="AG2:AH2"/>
    <mergeCell ref="AG3:AH3"/>
    <mergeCell ref="AG4:AH4"/>
    <mergeCell ref="Y27:Z27"/>
    <mergeCell ref="Y23:Z23"/>
    <mergeCell ref="B1:E1"/>
    <mergeCell ref="P1:Q1"/>
    <mergeCell ref="H2:I2"/>
    <mergeCell ref="H3:I3"/>
    <mergeCell ref="H4:I4"/>
    <mergeCell ref="H5:I5"/>
    <mergeCell ref="F1:G1"/>
    <mergeCell ref="H1:I1"/>
    <mergeCell ref="J1:K1"/>
    <mergeCell ref="N1:O1"/>
    <mergeCell ref="B24:E24"/>
    <mergeCell ref="B23:E23"/>
    <mergeCell ref="B22:E22"/>
    <mergeCell ref="B21:E21"/>
    <mergeCell ref="B20:E20"/>
    <mergeCell ref="B13:E13"/>
    <mergeCell ref="B12:E12"/>
    <mergeCell ref="B11:E11"/>
    <mergeCell ref="B10:E10"/>
    <mergeCell ref="B51:E51"/>
    <mergeCell ref="B50:E50"/>
    <mergeCell ref="B49:E49"/>
    <mergeCell ref="B36:E36"/>
    <mergeCell ref="B35:E35"/>
    <mergeCell ref="B34:E34"/>
    <mergeCell ref="B33:E33"/>
    <mergeCell ref="B32:E32"/>
    <mergeCell ref="B25:E25"/>
    <mergeCell ref="F9:G9"/>
    <mergeCell ref="F10:G10"/>
    <mergeCell ref="F11:G11"/>
    <mergeCell ref="F12:G12"/>
    <mergeCell ref="F13:G13"/>
    <mergeCell ref="F14:G14"/>
    <mergeCell ref="F2:G2"/>
    <mergeCell ref="F3:G3"/>
    <mergeCell ref="F4:G4"/>
    <mergeCell ref="F5:G5"/>
    <mergeCell ref="F6:G6"/>
    <mergeCell ref="F7:G7"/>
    <mergeCell ref="F8:G8"/>
    <mergeCell ref="F21:G21"/>
    <mergeCell ref="F22:G22"/>
    <mergeCell ref="F23:G23"/>
    <mergeCell ref="F24:G24"/>
    <mergeCell ref="F25:G25"/>
    <mergeCell ref="F26:G26"/>
    <mergeCell ref="F15:G15"/>
    <mergeCell ref="F16:G16"/>
    <mergeCell ref="F17:G17"/>
    <mergeCell ref="F18:G18"/>
    <mergeCell ref="F19:G19"/>
    <mergeCell ref="F20:G20"/>
    <mergeCell ref="F33:G33"/>
    <mergeCell ref="F34:G34"/>
    <mergeCell ref="F35:G35"/>
    <mergeCell ref="F36:G36"/>
    <mergeCell ref="F37:G37"/>
    <mergeCell ref="F38:G38"/>
    <mergeCell ref="F27:G27"/>
    <mergeCell ref="F28:G28"/>
    <mergeCell ref="F29:G29"/>
    <mergeCell ref="F30:G30"/>
    <mergeCell ref="F31:G31"/>
    <mergeCell ref="F32:G32"/>
    <mergeCell ref="F45:G45"/>
    <mergeCell ref="F46:G46"/>
    <mergeCell ref="F47:G47"/>
    <mergeCell ref="F48:G48"/>
    <mergeCell ref="F49:G49"/>
    <mergeCell ref="F50:G50"/>
    <mergeCell ref="F39:G39"/>
    <mergeCell ref="F40:G40"/>
    <mergeCell ref="F41:G41"/>
    <mergeCell ref="F42:G42"/>
    <mergeCell ref="F43:G43"/>
    <mergeCell ref="F44:G44"/>
    <mergeCell ref="H22:I22"/>
    <mergeCell ref="H23:I23"/>
    <mergeCell ref="H12:I12"/>
    <mergeCell ref="H13:I13"/>
    <mergeCell ref="H14:I14"/>
    <mergeCell ref="H15:I15"/>
    <mergeCell ref="H16:I16"/>
    <mergeCell ref="H17:I17"/>
    <mergeCell ref="H6:I6"/>
    <mergeCell ref="H7:I7"/>
    <mergeCell ref="H8:I8"/>
    <mergeCell ref="H9:I9"/>
    <mergeCell ref="H10:I10"/>
    <mergeCell ref="H11:I11"/>
    <mergeCell ref="J2:K2"/>
    <mergeCell ref="J3:K3"/>
    <mergeCell ref="J4:K4"/>
    <mergeCell ref="J5:K5"/>
    <mergeCell ref="J6:K6"/>
    <mergeCell ref="J7:K7"/>
    <mergeCell ref="J8:K8"/>
    <mergeCell ref="H42:I42"/>
    <mergeCell ref="H43:I43"/>
    <mergeCell ref="H36:I36"/>
    <mergeCell ref="H37:I37"/>
    <mergeCell ref="H38:I38"/>
    <mergeCell ref="H39:I39"/>
    <mergeCell ref="H40:I40"/>
    <mergeCell ref="H41:I41"/>
    <mergeCell ref="H30:I30"/>
    <mergeCell ref="H31:I31"/>
    <mergeCell ref="H32:I32"/>
    <mergeCell ref="H33:I33"/>
    <mergeCell ref="H34:I34"/>
    <mergeCell ref="H35:I35"/>
    <mergeCell ref="H24:I24"/>
    <mergeCell ref="H25:I25"/>
    <mergeCell ref="H26:I26"/>
    <mergeCell ref="H1048576:I1048576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H48:I48"/>
    <mergeCell ref="H49:I49"/>
    <mergeCell ref="H50:I50"/>
    <mergeCell ref="H44:I44"/>
    <mergeCell ref="H45:I45"/>
    <mergeCell ref="H46:I46"/>
    <mergeCell ref="H47:I47"/>
    <mergeCell ref="H27:I27"/>
    <mergeCell ref="H28:I28"/>
    <mergeCell ref="H29:I29"/>
    <mergeCell ref="H18:I18"/>
    <mergeCell ref="H19:I19"/>
    <mergeCell ref="H20:I20"/>
    <mergeCell ref="H21:I21"/>
    <mergeCell ref="J27:K27"/>
    <mergeCell ref="J28:K28"/>
    <mergeCell ref="J29:K29"/>
    <mergeCell ref="J18:K18"/>
    <mergeCell ref="J19:K19"/>
    <mergeCell ref="J20:K20"/>
    <mergeCell ref="J21:K21"/>
    <mergeCell ref="J22:K22"/>
    <mergeCell ref="J23:K23"/>
    <mergeCell ref="N2:O2"/>
    <mergeCell ref="N3:O3"/>
    <mergeCell ref="N4:O4"/>
    <mergeCell ref="N5:O5"/>
    <mergeCell ref="N6:O6"/>
    <mergeCell ref="N7:O7"/>
    <mergeCell ref="N8:O8"/>
    <mergeCell ref="J42:K42"/>
    <mergeCell ref="J43:K43"/>
    <mergeCell ref="J36:K36"/>
    <mergeCell ref="J37:K37"/>
    <mergeCell ref="J38:K38"/>
    <mergeCell ref="J39:K39"/>
    <mergeCell ref="J40:K40"/>
    <mergeCell ref="J41:K41"/>
    <mergeCell ref="J30:K30"/>
    <mergeCell ref="J31:K31"/>
    <mergeCell ref="J32:K32"/>
    <mergeCell ref="J33:K33"/>
    <mergeCell ref="J34:K34"/>
    <mergeCell ref="J35:K35"/>
    <mergeCell ref="J24:K24"/>
    <mergeCell ref="J25:K25"/>
    <mergeCell ref="J26:K26"/>
    <mergeCell ref="N15:O15"/>
    <mergeCell ref="N16:O16"/>
    <mergeCell ref="N17:O17"/>
    <mergeCell ref="N18:O18"/>
    <mergeCell ref="N19:O19"/>
    <mergeCell ref="N20:O20"/>
    <mergeCell ref="N9:O9"/>
    <mergeCell ref="N10:O10"/>
    <mergeCell ref="N11:O11"/>
    <mergeCell ref="N12:O12"/>
    <mergeCell ref="N13:O13"/>
    <mergeCell ref="N14:O14"/>
    <mergeCell ref="N30:O30"/>
    <mergeCell ref="N31:O31"/>
    <mergeCell ref="N32:O32"/>
    <mergeCell ref="N21:O21"/>
    <mergeCell ref="N22:O22"/>
    <mergeCell ref="N23:O23"/>
    <mergeCell ref="N24:O24"/>
    <mergeCell ref="N25:O25"/>
    <mergeCell ref="N26:O26"/>
    <mergeCell ref="P14:Q14"/>
    <mergeCell ref="P15:Q15"/>
    <mergeCell ref="P16:Q16"/>
    <mergeCell ref="P17:Q17"/>
    <mergeCell ref="P11:Q11"/>
    <mergeCell ref="P12:Q12"/>
    <mergeCell ref="P13:Q13"/>
    <mergeCell ref="R12:S12"/>
    <mergeCell ref="N45:O45"/>
    <mergeCell ref="N39:O39"/>
    <mergeCell ref="N40:O40"/>
    <mergeCell ref="N41:O41"/>
    <mergeCell ref="N42:O42"/>
    <mergeCell ref="N43:O43"/>
    <mergeCell ref="N44:O44"/>
    <mergeCell ref="N33:O33"/>
    <mergeCell ref="N34:O34"/>
    <mergeCell ref="N35:O35"/>
    <mergeCell ref="N36:O36"/>
    <mergeCell ref="N37:O37"/>
    <mergeCell ref="N38:O38"/>
    <mergeCell ref="N27:O27"/>
    <mergeCell ref="N28:O28"/>
    <mergeCell ref="N29:O29"/>
    <mergeCell ref="P2:Q2"/>
    <mergeCell ref="P3:Q3"/>
    <mergeCell ref="P4:Q4"/>
    <mergeCell ref="P5:Q5"/>
    <mergeCell ref="P6:Q6"/>
    <mergeCell ref="P7:Q7"/>
    <mergeCell ref="P8:Q8"/>
    <mergeCell ref="P9:Q9"/>
    <mergeCell ref="P10:Q10"/>
    <mergeCell ref="F51:G51"/>
    <mergeCell ref="H51:I51"/>
    <mergeCell ref="J50:K50"/>
    <mergeCell ref="N51:O51"/>
    <mergeCell ref="P51:Q51"/>
    <mergeCell ref="P42:Q42"/>
    <mergeCell ref="P43:Q43"/>
    <mergeCell ref="P44:Q44"/>
    <mergeCell ref="P45:Q45"/>
    <mergeCell ref="P46:Q46"/>
    <mergeCell ref="P47:Q47"/>
    <mergeCell ref="P48:Q48"/>
    <mergeCell ref="P49:Q49"/>
    <mergeCell ref="N46:O46"/>
    <mergeCell ref="N47:O47"/>
    <mergeCell ref="N48:O48"/>
    <mergeCell ref="N49:O49"/>
    <mergeCell ref="N50:O50"/>
    <mergeCell ref="J48:K48"/>
    <mergeCell ref="J49:K49"/>
    <mergeCell ref="J44:K44"/>
    <mergeCell ref="J45:K45"/>
    <mergeCell ref="J46:K46"/>
    <mergeCell ref="J47:K47"/>
    <mergeCell ref="J51:K51"/>
    <mergeCell ref="R8:S8"/>
    <mergeCell ref="R9:S9"/>
    <mergeCell ref="R10:S10"/>
    <mergeCell ref="R11:S11"/>
    <mergeCell ref="Y5:Z5"/>
    <mergeCell ref="Y7:Z7"/>
    <mergeCell ref="Y8:Z8"/>
    <mergeCell ref="Y9:Z9"/>
    <mergeCell ref="Y10:Z10"/>
    <mergeCell ref="P50:Q50"/>
    <mergeCell ref="P30:Q30"/>
    <mergeCell ref="P31:Q31"/>
    <mergeCell ref="P32:Q32"/>
    <mergeCell ref="P33:Q33"/>
    <mergeCell ref="P34:Q34"/>
    <mergeCell ref="P35:Q35"/>
    <mergeCell ref="P18:Q18"/>
    <mergeCell ref="P19:Q19"/>
    <mergeCell ref="P20:Q20"/>
    <mergeCell ref="P21:Q21"/>
    <mergeCell ref="P22:Q22"/>
    <mergeCell ref="P23:Q23"/>
    <mergeCell ref="R46:S46"/>
    <mergeCell ref="B48:E48"/>
    <mergeCell ref="B47:E47"/>
    <mergeCell ref="B46:E46"/>
    <mergeCell ref="B45:E45"/>
    <mergeCell ref="B44:E44"/>
    <mergeCell ref="B43:E43"/>
    <mergeCell ref="Y11:Z11"/>
    <mergeCell ref="X4:Z4"/>
    <mergeCell ref="Y6:Z6"/>
    <mergeCell ref="R47:S47"/>
    <mergeCell ref="P38:Q38"/>
    <mergeCell ref="P39:Q39"/>
    <mergeCell ref="P40:Q40"/>
    <mergeCell ref="P41:Q41"/>
    <mergeCell ref="P36:Q36"/>
    <mergeCell ref="P37:Q37"/>
    <mergeCell ref="R32:S32"/>
    <mergeCell ref="R33:S33"/>
    <mergeCell ref="P26:Q26"/>
    <mergeCell ref="P27:Q27"/>
    <mergeCell ref="P28:Q28"/>
    <mergeCell ref="P29:Q29"/>
    <mergeCell ref="P24:Q24"/>
    <mergeCell ref="P25:Q25"/>
    <mergeCell ref="B31:E31"/>
    <mergeCell ref="B30:E30"/>
    <mergeCell ref="B29:E29"/>
    <mergeCell ref="B28:E28"/>
    <mergeCell ref="B27:E27"/>
    <mergeCell ref="B26:E26"/>
    <mergeCell ref="B42:E42"/>
    <mergeCell ref="B41:E41"/>
    <mergeCell ref="B40:E40"/>
    <mergeCell ref="B39:E39"/>
    <mergeCell ref="B38:E38"/>
    <mergeCell ref="B37:E37"/>
    <mergeCell ref="B7:E7"/>
    <mergeCell ref="B6:E6"/>
    <mergeCell ref="B5:E5"/>
    <mergeCell ref="B4:E4"/>
    <mergeCell ref="B3:E3"/>
    <mergeCell ref="B2:E2"/>
    <mergeCell ref="B19:E19"/>
    <mergeCell ref="B18:E18"/>
    <mergeCell ref="B17:E17"/>
    <mergeCell ref="B16:E16"/>
    <mergeCell ref="B15:E15"/>
    <mergeCell ref="B14:E14"/>
    <mergeCell ref="B9:E9"/>
    <mergeCell ref="B8:E8"/>
    <mergeCell ref="R13:S13"/>
    <mergeCell ref="R14:S14"/>
    <mergeCell ref="R15:S15"/>
    <mergeCell ref="R16:S16"/>
    <mergeCell ref="R17:S17"/>
    <mergeCell ref="R18:S18"/>
    <mergeCell ref="R2:S2"/>
    <mergeCell ref="R3:S3"/>
    <mergeCell ref="R4:S4"/>
    <mergeCell ref="R5:S5"/>
    <mergeCell ref="R6:S6"/>
    <mergeCell ref="R7:S7"/>
    <mergeCell ref="R29:S29"/>
    <mergeCell ref="R30:S30"/>
    <mergeCell ref="R31:S31"/>
    <mergeCell ref="R19:S19"/>
    <mergeCell ref="R20:S20"/>
    <mergeCell ref="R21:S21"/>
    <mergeCell ref="R22:S22"/>
    <mergeCell ref="R23:S23"/>
    <mergeCell ref="R24:S24"/>
    <mergeCell ref="R25:S25"/>
    <mergeCell ref="AB17:AC17"/>
    <mergeCell ref="Y17:Z17"/>
    <mergeCell ref="R48:S48"/>
    <mergeCell ref="R49:S49"/>
    <mergeCell ref="R50:S50"/>
    <mergeCell ref="R51:S51"/>
    <mergeCell ref="R1:S1"/>
    <mergeCell ref="T1:U1"/>
    <mergeCell ref="R40:S40"/>
    <mergeCell ref="R41:S41"/>
    <mergeCell ref="R42:S42"/>
    <mergeCell ref="R43:S43"/>
    <mergeCell ref="R44:S44"/>
    <mergeCell ref="R45:S45"/>
    <mergeCell ref="R34:S34"/>
    <mergeCell ref="R35:S35"/>
    <mergeCell ref="R36:S36"/>
    <mergeCell ref="R37:S37"/>
    <mergeCell ref="R38:S38"/>
    <mergeCell ref="R39:S39"/>
    <mergeCell ref="R26:S26"/>
    <mergeCell ref="R27:S27"/>
    <mergeCell ref="R28:S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Skylar Valerio</dc:creator>
  <cp:lastModifiedBy>Skylar Valerio</cp:lastModifiedBy>
  <dcterms:created xsi:type="dcterms:W3CDTF">2019-09-06T17:21:46Z</dcterms:created>
  <dcterms:modified xsi:type="dcterms:W3CDTF">2019-09-08T02:31:55Z</dcterms:modified>
</cp:coreProperties>
</file>