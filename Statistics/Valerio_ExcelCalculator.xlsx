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yla\OneDrive\Desktop\"/>
    </mc:Choice>
  </mc:AlternateContent>
  <xr:revisionPtr revIDLastSave="0" documentId="8_{1B4F933B-DA5F-48CD-A23B-C5057DA76890}" xr6:coauthVersionLast="41" xr6:coauthVersionMax="41" xr10:uidLastSave="{00000000-0000-0000-0000-000000000000}"/>
  <bookViews>
    <workbookView xWindow="28680" yWindow="-120" windowWidth="29040" windowHeight="15840" xr2:uid="{3AFDB78A-A2A3-4F6B-A971-0F514BB2A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58" i="1" l="1"/>
  <c r="B57" i="1"/>
  <c r="B52" i="1"/>
  <c r="B51" i="1"/>
  <c r="B50" i="1"/>
  <c r="D49" i="1"/>
  <c r="C49" i="1"/>
  <c r="B44" i="1"/>
  <c r="B43" i="1"/>
  <c r="B42" i="1"/>
  <c r="F41" i="1"/>
  <c r="B36" i="1"/>
  <c r="B30" i="1"/>
  <c r="B29" i="1"/>
  <c r="B28" i="1"/>
  <c r="B16" i="1"/>
  <c r="E15" i="1"/>
  <c r="B9" i="1"/>
  <c r="B8" i="1"/>
</calcChain>
</file>

<file path=xl/sharedStrings.xml><?xml version="1.0" encoding="utf-8"?>
<sst xmlns="http://schemas.openxmlformats.org/spreadsheetml/2006/main" count="60" uniqueCount="34">
  <si>
    <t>Binomial Distribution</t>
  </si>
  <si>
    <t>n</t>
  </si>
  <si>
    <t>x</t>
  </si>
  <si>
    <t>p</t>
  </si>
  <si>
    <t>q</t>
  </si>
  <si>
    <t>P(x)</t>
  </si>
  <si>
    <t>1-P(x)</t>
  </si>
  <si>
    <t>STATISTICAL FORMULAS</t>
  </si>
  <si>
    <t>Estimating Probability Sampling Distribution M</t>
  </si>
  <si>
    <t>sample size</t>
  </si>
  <si>
    <t>mean P</t>
  </si>
  <si>
    <t>mean smp</t>
  </si>
  <si>
    <t>StDev P</t>
  </si>
  <si>
    <t>St Dev smp</t>
  </si>
  <si>
    <t>M</t>
  </si>
  <si>
    <t>m</t>
  </si>
  <si>
    <t>S</t>
  </si>
  <si>
    <t>s</t>
  </si>
  <si>
    <t>PROB of m</t>
  </si>
  <si>
    <t>Confidence</t>
  </si>
  <si>
    <t>Z-Score</t>
  </si>
  <si>
    <t>Margin of Error and Estimate Interval/Sigma Known</t>
  </si>
  <si>
    <t>sigma</t>
  </si>
  <si>
    <t>z</t>
  </si>
  <si>
    <t>E</t>
  </si>
  <si>
    <t>Minimum Sample Size When Sigma is Known</t>
  </si>
  <si>
    <t>Margin of Error and Estimate Interval/Sigma Unknown</t>
  </si>
  <si>
    <t>c</t>
  </si>
  <si>
    <t>t</t>
  </si>
  <si>
    <t>df</t>
  </si>
  <si>
    <t>Lower L</t>
  </si>
  <si>
    <t>Upper L</t>
  </si>
  <si>
    <t>Margin of Error and Estimate Interval for Proportion Sampling</t>
  </si>
  <si>
    <t>Minimum Sample Size for Proportion Sampling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</si>
</sst>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6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6" borderId="0" xfId="5" applyBorder="1" applyAlignment="1">
      <alignment horizontal="left"/>
    </xf>
    <xf numFmtId="0" fontId="1" fillId="6" borderId="0" xfId="5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3" xfId="0" applyFont="1" applyBorder="1"/>
    <xf numFmtId="0" fontId="0" fillId="0" borderId="1" xfId="0" applyBorder="1"/>
    <xf numFmtId="0" fontId="2" fillId="3" borderId="1" xfId="2" applyBorder="1" applyAlignment="1">
      <alignment horizontal="center"/>
    </xf>
    <xf numFmtId="0" fontId="1" fillId="4" borderId="1" xfId="3" applyBorder="1" applyAlignment="1">
      <alignment horizontal="center"/>
    </xf>
    <xf numFmtId="0" fontId="0" fillId="0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3" fillId="2" borderId="3" xfId="1" applyFont="1" applyBorder="1" applyAlignment="1">
      <alignment horizontal="center"/>
    </xf>
    <xf numFmtId="0" fontId="1" fillId="6" borderId="0" xfId="5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4" borderId="1" xfId="3" applyFont="1" applyBorder="1" applyAlignment="1">
      <alignment horizontal="center"/>
    </xf>
    <xf numFmtId="0" fontId="2" fillId="5" borderId="0" xfId="4" applyAlignment="1">
      <alignment horizontal="center"/>
    </xf>
    <xf numFmtId="0" fontId="1" fillId="6" borderId="0" xfId="5" applyBorder="1" applyAlignment="1">
      <alignment horizontal="center"/>
    </xf>
  </cellXfs>
  <cellStyles count="6">
    <cellStyle name="40% - Accent3" xfId="1" builtinId="39"/>
    <cellStyle name="40% - Accent5" xfId="3" builtinId="47"/>
    <cellStyle name="40% - Accent6" xfId="5" builtinId="51"/>
    <cellStyle name="Accent5" xfId="2" builtinId="45"/>
    <cellStyle name="Accent6" xfId="4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320F6-FD0A-4282-BA0B-51E223412FFB}">
  <dimension ref="A1:F58"/>
  <sheetViews>
    <sheetView tabSelected="1" zoomScale="178" zoomScaleNormal="178" workbookViewId="0">
      <selection activeCell="H3" sqref="H3"/>
    </sheetView>
  </sheetViews>
  <sheetFormatPr defaultRowHeight="15" x14ac:dyDescent="0.25"/>
  <sheetData>
    <row r="1" spans="1:5" x14ac:dyDescent="0.25">
      <c r="A1" s="17" t="s">
        <v>7</v>
      </c>
      <c r="B1" s="17"/>
      <c r="C1" s="17"/>
    </row>
    <row r="3" spans="1:5" x14ac:dyDescent="0.25">
      <c r="A3" s="13" t="s">
        <v>0</v>
      </c>
      <c r="B3" s="13"/>
    </row>
    <row r="4" spans="1:5" x14ac:dyDescent="0.25">
      <c r="A4" s="4" t="s">
        <v>1</v>
      </c>
      <c r="B4" s="7"/>
    </row>
    <row r="5" spans="1:5" x14ac:dyDescent="0.25">
      <c r="A5" s="4" t="s">
        <v>2</v>
      </c>
      <c r="B5" s="7"/>
    </row>
    <row r="6" spans="1:5" x14ac:dyDescent="0.25">
      <c r="A6" s="4" t="s">
        <v>3</v>
      </c>
      <c r="B6" s="7"/>
    </row>
    <row r="7" spans="1:5" x14ac:dyDescent="0.25">
      <c r="A7" s="4" t="s">
        <v>4</v>
      </c>
      <c r="B7" s="7"/>
    </row>
    <row r="8" spans="1:5" x14ac:dyDescent="0.25">
      <c r="A8" s="4" t="s">
        <v>5</v>
      </c>
      <c r="B8" s="7" t="e">
        <f>COMBIN(B4,B5)*B6^B5*B7^(B4-B5)</f>
        <v>#NUM!</v>
      </c>
    </row>
    <row r="9" spans="1:5" x14ac:dyDescent="0.25">
      <c r="A9" s="4" t="s">
        <v>6</v>
      </c>
      <c r="B9" s="7" t="e">
        <f>1-A9</f>
        <v>#VALUE!</v>
      </c>
    </row>
    <row r="12" spans="1:5" x14ac:dyDescent="0.25">
      <c r="A12" s="2" t="s">
        <v>8</v>
      </c>
      <c r="B12" s="13"/>
      <c r="C12" s="13"/>
      <c r="D12" s="13"/>
      <c r="E12" s="13"/>
    </row>
    <row r="13" spans="1:5" x14ac:dyDescent="0.25">
      <c r="A13" s="14" t="s">
        <v>9</v>
      </c>
      <c r="B13" s="4" t="s">
        <v>10</v>
      </c>
      <c r="C13" s="15" t="s">
        <v>11</v>
      </c>
      <c r="D13" s="4" t="s">
        <v>12</v>
      </c>
      <c r="E13" s="16" t="s">
        <v>13</v>
      </c>
    </row>
    <row r="14" spans="1:5" x14ac:dyDescent="0.25">
      <c r="A14" s="4" t="s">
        <v>1</v>
      </c>
      <c r="B14" s="5" t="s">
        <v>14</v>
      </c>
      <c r="C14" s="4" t="s">
        <v>15</v>
      </c>
      <c r="D14" s="5" t="s">
        <v>16</v>
      </c>
      <c r="E14" s="4" t="s">
        <v>17</v>
      </c>
    </row>
    <row r="15" spans="1:5" x14ac:dyDescent="0.25">
      <c r="E15" s="7" t="e">
        <f>D15/SQRT(A15)</f>
        <v>#DIV/0!</v>
      </c>
    </row>
    <row r="16" spans="1:5" x14ac:dyDescent="0.25">
      <c r="A16" s="6" t="s">
        <v>18</v>
      </c>
      <c r="B16" s="7" t="e">
        <f>(C15-B15)/E15</f>
        <v>#DIV/0!</v>
      </c>
    </row>
    <row r="19" spans="1:5" x14ac:dyDescent="0.25">
      <c r="A19" s="12" t="s">
        <v>19</v>
      </c>
      <c r="B19" s="8" t="s">
        <v>20</v>
      </c>
    </row>
    <row r="20" spans="1:5" x14ac:dyDescent="0.25">
      <c r="A20" s="11">
        <v>0.9</v>
      </c>
      <c r="B20" s="9">
        <v>1.645</v>
      </c>
    </row>
    <row r="21" spans="1:5" x14ac:dyDescent="0.25">
      <c r="A21" s="11">
        <v>0.95</v>
      </c>
      <c r="B21" s="9">
        <v>1.96</v>
      </c>
    </row>
    <row r="22" spans="1:5" x14ac:dyDescent="0.25">
      <c r="A22" s="11">
        <v>0.99</v>
      </c>
      <c r="B22" s="9">
        <v>2.5750000000000002</v>
      </c>
    </row>
    <row r="25" spans="1:5" x14ac:dyDescent="0.25">
      <c r="A25" s="3" t="s">
        <v>21</v>
      </c>
      <c r="B25" s="3"/>
      <c r="C25" s="3"/>
      <c r="D25" s="3"/>
      <c r="E25" s="3"/>
    </row>
    <row r="26" spans="1:5" x14ac:dyDescent="0.25">
      <c r="A26" s="4" t="s">
        <v>1</v>
      </c>
      <c r="B26" s="4" t="s">
        <v>22</v>
      </c>
      <c r="C26" s="9" t="s">
        <v>23</v>
      </c>
      <c r="D26" s="4" t="s">
        <v>15</v>
      </c>
    </row>
    <row r="27" spans="1:5" x14ac:dyDescent="0.25">
      <c r="A27" s="4"/>
      <c r="B27" s="4"/>
      <c r="C27" s="9"/>
      <c r="D27" s="4"/>
    </row>
    <row r="28" spans="1:5" x14ac:dyDescent="0.25">
      <c r="A28" s="4" t="s">
        <v>24</v>
      </c>
      <c r="B28" s="4" t="e">
        <f>C27*B27/SQRT(A27)</f>
        <v>#DIV/0!</v>
      </c>
      <c r="C28" s="1"/>
      <c r="D28" s="1"/>
    </row>
    <row r="29" spans="1:5" x14ac:dyDescent="0.25">
      <c r="A29" s="4" t="s">
        <v>30</v>
      </c>
      <c r="B29" s="4" t="e">
        <f>D27-B28</f>
        <v>#DIV/0!</v>
      </c>
      <c r="C29" s="1"/>
      <c r="D29" s="1"/>
    </row>
    <row r="30" spans="1:5" x14ac:dyDescent="0.25">
      <c r="A30" s="4" t="s">
        <v>31</v>
      </c>
      <c r="B30" s="4" t="e">
        <f>D27+B28</f>
        <v>#DIV/0!</v>
      </c>
      <c r="C30" s="1"/>
      <c r="D30" s="1"/>
    </row>
    <row r="33" spans="1:6" x14ac:dyDescent="0.25">
      <c r="A33" s="3" t="s">
        <v>25</v>
      </c>
      <c r="B33" s="3"/>
      <c r="C33" s="3"/>
      <c r="D33" s="3"/>
      <c r="E33" s="3"/>
    </row>
    <row r="34" spans="1:6" x14ac:dyDescent="0.25">
      <c r="A34" s="4" t="s">
        <v>24</v>
      </c>
      <c r="B34" s="4" t="s">
        <v>22</v>
      </c>
      <c r="C34" s="9" t="s">
        <v>23</v>
      </c>
    </row>
    <row r="35" spans="1:6" x14ac:dyDescent="0.25">
      <c r="A35" s="4"/>
      <c r="B35" s="4"/>
      <c r="C35" s="9"/>
    </row>
    <row r="36" spans="1:6" x14ac:dyDescent="0.25">
      <c r="A36" s="4" t="s">
        <v>1</v>
      </c>
      <c r="B36" s="4" t="e">
        <f>(C35*B35/A35)^2</f>
        <v>#DIV/0!</v>
      </c>
      <c r="C36" s="1"/>
    </row>
    <row r="39" spans="1:6" x14ac:dyDescent="0.25">
      <c r="A39" s="3" t="s">
        <v>26</v>
      </c>
      <c r="B39" s="3"/>
      <c r="C39" s="3"/>
      <c r="D39" s="3"/>
      <c r="E39" s="3"/>
      <c r="F39" s="3"/>
    </row>
    <row r="40" spans="1:6" x14ac:dyDescent="0.25">
      <c r="A40" s="4" t="s">
        <v>1</v>
      </c>
      <c r="B40" s="4" t="s">
        <v>22</v>
      </c>
      <c r="C40" s="4" t="s">
        <v>17</v>
      </c>
      <c r="D40" s="4" t="s">
        <v>27</v>
      </c>
      <c r="E40" s="9" t="s">
        <v>28</v>
      </c>
      <c r="F40" s="4" t="s">
        <v>29</v>
      </c>
    </row>
    <row r="41" spans="1:6" x14ac:dyDescent="0.25">
      <c r="A41" s="4"/>
      <c r="B41" s="4"/>
      <c r="C41" s="4"/>
      <c r="D41" s="4"/>
      <c r="E41" s="9"/>
      <c r="F41" s="4">
        <f>A41-1</f>
        <v>-1</v>
      </c>
    </row>
    <row r="42" spans="1:6" x14ac:dyDescent="0.25">
      <c r="A42" s="4" t="s">
        <v>24</v>
      </c>
      <c r="B42" s="4" t="e">
        <f>E41*C41/SQRT(A41)</f>
        <v>#DIV/0!</v>
      </c>
    </row>
    <row r="43" spans="1:6" x14ac:dyDescent="0.25">
      <c r="A43" s="4" t="s">
        <v>30</v>
      </c>
      <c r="B43" s="4" t="e">
        <f>B41-B42</f>
        <v>#DIV/0!</v>
      </c>
    </row>
    <row r="44" spans="1:6" x14ac:dyDescent="0.25">
      <c r="A44" s="4" t="s">
        <v>31</v>
      </c>
      <c r="B44" s="4" t="e">
        <f>B41+B42</f>
        <v>#DIV/0!</v>
      </c>
    </row>
    <row r="47" spans="1:6" x14ac:dyDescent="0.25">
      <c r="A47" s="3" t="s">
        <v>32</v>
      </c>
      <c r="B47" s="3"/>
      <c r="C47" s="3"/>
      <c r="D47" s="3"/>
      <c r="E47" s="3"/>
      <c r="F47" s="3"/>
    </row>
    <row r="48" spans="1:6" x14ac:dyDescent="0.25">
      <c r="A48" s="4" t="s">
        <v>1</v>
      </c>
      <c r="B48" s="4" t="s">
        <v>2</v>
      </c>
      <c r="C48" s="4" t="s">
        <v>3</v>
      </c>
      <c r="D48" s="4" t="s">
        <v>4</v>
      </c>
      <c r="E48" s="9" t="s">
        <v>23</v>
      </c>
    </row>
    <row r="49" spans="1:5" x14ac:dyDescent="0.25">
      <c r="A49" s="4"/>
      <c r="B49" s="4"/>
      <c r="C49" s="4" t="e">
        <f>B49/A49</f>
        <v>#DIV/0!</v>
      </c>
      <c r="D49" s="4" t="e">
        <f>1-C49</f>
        <v>#DIV/0!</v>
      </c>
      <c r="E49" s="9"/>
    </row>
    <row r="50" spans="1:5" x14ac:dyDescent="0.25">
      <c r="A50" s="4" t="s">
        <v>24</v>
      </c>
      <c r="B50" s="4" t="e">
        <f>E40*SQRT(C49*D49/A49)</f>
        <v>#VALUE!</v>
      </c>
    </row>
    <row r="51" spans="1:5" x14ac:dyDescent="0.25">
      <c r="A51" s="4" t="s">
        <v>30</v>
      </c>
      <c r="B51" s="4" t="e">
        <f>C49-B50</f>
        <v>#DIV/0!</v>
      </c>
    </row>
    <row r="52" spans="1:5" x14ac:dyDescent="0.25">
      <c r="A52" s="4" t="s">
        <v>31</v>
      </c>
      <c r="B52" s="4" t="e">
        <f>C49+B50</f>
        <v>#DIV/0!</v>
      </c>
    </row>
    <row r="55" spans="1:5" x14ac:dyDescent="0.25">
      <c r="A55" s="18" t="s">
        <v>33</v>
      </c>
      <c r="B55" s="3"/>
      <c r="C55" s="3"/>
      <c r="D55" s="3"/>
    </row>
    <row r="56" spans="1:5" x14ac:dyDescent="0.25">
      <c r="A56" s="10" t="s">
        <v>3</v>
      </c>
      <c r="B56" s="4" t="s">
        <v>4</v>
      </c>
      <c r="C56" s="4" t="s">
        <v>24</v>
      </c>
      <c r="D56" s="4" t="s">
        <v>23</v>
      </c>
    </row>
    <row r="57" spans="1:5" x14ac:dyDescent="0.25">
      <c r="A57" s="4"/>
      <c r="B57" s="4">
        <f>1-A57</f>
        <v>1</v>
      </c>
      <c r="C57" s="4"/>
      <c r="D57" s="9"/>
    </row>
    <row r="58" spans="1:5" x14ac:dyDescent="0.25">
      <c r="A58" s="4" t="s">
        <v>1</v>
      </c>
      <c r="B58" s="4" t="e">
        <f>A57*B57*(D57/C57)^2</f>
        <v>#DIV/0!</v>
      </c>
      <c r="C58" s="1"/>
      <c r="D58" s="1"/>
    </row>
  </sheetData>
  <mergeCells count="1"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Skylar Valerio</dc:creator>
  <cp:lastModifiedBy>Skylar Valerio</cp:lastModifiedBy>
  <dcterms:created xsi:type="dcterms:W3CDTF">2019-09-20T02:40:36Z</dcterms:created>
  <dcterms:modified xsi:type="dcterms:W3CDTF">2019-09-20T03:06:18Z</dcterms:modified>
</cp:coreProperties>
</file>